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a5bc9cdb34161fd/Documents/GitHub/autononymous.github.io/ScrivWeb/data/storymeta/"/>
    </mc:Choice>
  </mc:AlternateContent>
  <xr:revisionPtr revIDLastSave="64" documentId="11_16A70E1B135CCE0EEA55D0F44C2D1E7D89F990E4" xr6:coauthVersionLast="47" xr6:coauthVersionMax="47" xr10:uidLastSave="{470B86D8-58E0-49D3-AF39-53A825B0F4A3}"/>
  <bookViews>
    <workbookView xWindow="4860" yWindow="1890" windowWidth="18340" windowHeight="12290" xr2:uid="{00000000-000D-0000-FFFF-FFFF00000000}"/>
  </bookViews>
  <sheets>
    <sheet name="inde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1" i="1" l="1"/>
  <c r="K161" i="1"/>
  <c r="J161" i="1"/>
  <c r="N161" i="1" s="1"/>
  <c r="M160" i="1"/>
  <c r="L160" i="1"/>
  <c r="K160" i="1"/>
  <c r="J160" i="1"/>
  <c r="N160" i="1" s="1"/>
  <c r="I161" i="1"/>
  <c r="I160"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2"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<sst xmlns="http://schemas.openxmlformats.org/spreadsheetml/2006/main" count="1628" uniqueCount="426">
  <si>
    <t>Long ID</t>
  </si>
  <si>
    <t>Act</t>
  </si>
  <si>
    <t>Chapter</t>
  </si>
  <si>
    <t>Chapter Name</t>
  </si>
  <si>
    <t>Scene</t>
  </si>
  <si>
    <t>POV</t>
  </si>
  <si>
    <t>Word Ct</t>
  </si>
  <si>
    <t>Summary</t>
  </si>
  <si>
    <t>ID</t>
  </si>
  <si>
    <t>Action</t>
  </si>
  <si>
    <t>Drama</t>
  </si>
  <si>
    <t>Theme</t>
  </si>
  <si>
    <t>Magnitude</t>
  </si>
  <si>
    <t>Energy</t>
  </si>
  <si>
    <t>State ID</t>
  </si>
  <si>
    <t>State Name</t>
  </si>
  <si>
    <t>A Raw</t>
  </si>
  <si>
    <t>D Raw</t>
  </si>
  <si>
    <t>T Raw</t>
  </si>
  <si>
    <t>A 100</t>
  </si>
  <si>
    <t>D 100</t>
  </si>
  <si>
    <t>T 100</t>
  </si>
  <si>
    <t>A Tier</t>
  </si>
  <si>
    <t>D Tier</t>
  </si>
  <si>
    <t>T Tier</t>
  </si>
  <si>
    <t>V Label</t>
  </si>
  <si>
    <t>Premise Force 100</t>
  </si>
  <si>
    <t>Energy 100</t>
  </si>
  <si>
    <t>Source Pass</t>
  </si>
  <si>
    <t>A01C01S01</t>
  </si>
  <si>
    <t>Strangers To Enemies 1</t>
  </si>
  <si>
    <t>Cody</t>
  </si>
  <si>
    <t>CODY celebrates his first home with his friend Miguel. After Miguel falls asleep, he drunkenly stumbles into the adjoining residence, but is mistaken for an intruder.</t>
  </si>
  <si>
    <t>Climactic Thematic Action</t>
  </si>
  <si>
    <t>Tier 3</t>
  </si>
  <si>
    <t>Tier 2</t>
  </si>
  <si>
    <t>Ambiguous / Transitional</t>
  </si>
  <si>
    <t>Act 1</t>
  </si>
  <si>
    <t>A01C01S02</t>
  </si>
  <si>
    <t>The two strangers exchange unpleasantries, CODY is assaulted, and he is kicked out into a strange world.</t>
  </si>
  <si>
    <t>A01C01S03</t>
  </si>
  <si>
    <t>CODY encounters strangers passing by and mistakes them for cosplayers. They heal him in an inexplicable way, then he tries to return home.</t>
  </si>
  <si>
    <t>Climactic Theme</t>
  </si>
  <si>
    <t>A01C01S04</t>
  </si>
  <si>
    <t>CODY stands at the threshold of the door, finding the psychotic cosplayer on the other side, captivated by the mystery of her.</t>
  </si>
  <si>
    <t>A01C02S01</t>
  </si>
  <si>
    <t>The Knight Before</t>
  </si>
  <si>
    <t>Katiya</t>
  </si>
  <si>
    <t>KATIYA struggles to relax and hates drinking, considering all the forces that brought her to this moment.</t>
  </si>
  <si>
    <t>Emotion-Dominant Theme</t>
  </si>
  <si>
    <t>Tier 1</t>
  </si>
  <si>
    <t>A01C02S02</t>
  </si>
  <si>
    <t>Aldrin convinces KATIYA and his trainees about the ease of the process, describing what they will be doing.</t>
  </si>
  <si>
    <t>Reflective Beat</t>
  </si>
  <si>
    <t>A01C02S03</t>
  </si>
  <si>
    <t>KATIYA stays the whole time, waiting for Jullian. The two of them head back to Katiya's new place to christen it.</t>
  </si>
  <si>
    <t>A01C03S01</t>
  </si>
  <si>
    <t>The Day After</t>
  </si>
  <si>
    <t>An unfulfiling day at the office. Introduce CODY's dream and immediate colleagues</t>
  </si>
  <si>
    <t>A01C03S02</t>
  </si>
  <si>
    <t>CODY gets roasted by his boss for late submission of redlines. Moment with Kei expressing his dissatisfaction.</t>
  </si>
  <si>
    <t>Climactic Emotion</t>
  </si>
  <si>
    <t>Leaning Anti-Truth</t>
  </si>
  <si>
    <t>A01C03S03</t>
  </si>
  <si>
    <t>CODY returns home to unpack with family. Parents push his buttons. Miguel comes over to drink and hang out.</t>
  </si>
  <si>
    <t>Pivot Beat</t>
  </si>
  <si>
    <t>A01C04S01</t>
  </si>
  <si>
    <t>Secondhand Cottage</t>
  </si>
  <si>
    <t>KATIYA has nightmares of the event that changed her life forever: the death of her family in the Siege of Hillfar.</t>
  </si>
  <si>
    <t>A01C04S02</t>
  </si>
  <si>
    <t>KATIYA prevents her own panic attack. Puts on clothes, begins day.</t>
  </si>
  <si>
    <t>A01C04S03</t>
  </si>
  <si>
    <t>KATIYA tries to make breakfast. Encounters Derry &amp; Carmen, tertiary characters that foreshadow Rayna in the story. Heads to Gaffe Royal Base with Bertram.</t>
  </si>
  <si>
    <t>A01C05S01</t>
  </si>
  <si>
    <t>Firsthand Home</t>
  </si>
  <si>
    <t>Miguel and CODY talk life while playing a shooter game. They decide to drink heavily on what Miguel brought over.</t>
  </si>
  <si>
    <t>A01C05S02</t>
  </si>
  <si>
    <t>Miguel and CODY get drunk and emotions rise. Miguel falls asleep, but Cody is still awake.</t>
  </si>
  <si>
    <t>A01C06S01</t>
  </si>
  <si>
    <t>Insurgency</t>
  </si>
  <si>
    <t>KATIYA has a slow first day, but it ends in panic when a beam of light is seen over the hills to the north.</t>
  </si>
  <si>
    <t>A01C06S02</t>
  </si>
  <si>
    <t>The town responds to the events of FIREBRAND. When prompted to go on a scouting mission, KATIYA is saved from a panic attack by Bertram.</t>
  </si>
  <si>
    <t>Major Climax</t>
  </si>
  <si>
    <t>A01C06S03</t>
  </si>
  <si>
    <t>KATIYA comes down from her panic on the walk home. But she finds a stranger inside her home. She ambushes him.</t>
  </si>
  <si>
    <t>A01C07S01</t>
  </si>
  <si>
    <t>Exfiltration</t>
  </si>
  <si>
    <t>KATIYA experiences the events of the prologue, except through her eyes. Same exchanges.</t>
  </si>
  <si>
    <t>A01C07S02</t>
  </si>
  <si>
    <t>After she passes through the threshold, KATIYA experiences the horrors of the modern world. She ends up on the other side of the door, mirroring the introduction.</t>
  </si>
  <si>
    <t>A01C08S01</t>
  </si>
  <si>
    <t>Strangers To Enemies 2</t>
  </si>
  <si>
    <t>KATIYA fights Cody for a second time, but is overpowered. She assumes that Cody is an Auvryan assassin.</t>
  </si>
  <si>
    <t>Cinematic Pivot</t>
  </si>
  <si>
    <t>A01C08S02</t>
  </si>
  <si>
    <t>The two fight one last time, ending in even fruther misunderstanding. Cody is driven back through the door by KATIYA.</t>
  </si>
  <si>
    <t>A01C09S01</t>
  </si>
  <si>
    <t>Surprise Approach</t>
  </si>
  <si>
    <t>CODY has an uneventful day after the fight, thinking it is all a dream when his hand is unhurt. He barricades the door, then the next day, nearly shows up late to work.</t>
  </si>
  <si>
    <t>A01C09S02</t>
  </si>
  <si>
    <t>CODY is introduced to his foil, REED, that has all the energy Cody lost.</t>
  </si>
  <si>
    <t>A01C10S01</t>
  </si>
  <si>
    <t>Strategic Retreat</t>
  </si>
  <si>
    <t>KATIYA deals with the immediate aftermath, trying not to panic. She cleans her new place to calm down, puzzling over the strange device that Cody left behind.</t>
  </si>
  <si>
    <t>Climactic Emotive Theme</t>
  </si>
  <si>
    <t>Strong Anti-Truth</t>
  </si>
  <si>
    <t>A01C10S02</t>
  </si>
  <si>
    <t>TIME SKIP to a whole month later, when KATIYA is completing another uneventful quest with Naya. They head down to welcome royals into the city, but Katiya is the first to notice something is off.</t>
  </si>
  <si>
    <t>A01C10S03</t>
  </si>
  <si>
    <t>KATIYA's hesitation almost gets her and the royals killed, but is enough to save them. The mother berates her. She runs from the scene to save her best friend Bertram.</t>
  </si>
  <si>
    <t>A01C11S01</t>
  </si>
  <si>
    <t>Ennui and Excoriation</t>
  </si>
  <si>
    <t>A month later, CODY is bored a t work: overhearing Reed receive praise for things he never was praised for. Nav introduces a new project to them.</t>
  </si>
  <si>
    <t>A01C11S02</t>
  </si>
  <si>
    <t>Bottleneck introducing CODY's colleagues, Reed and Kei, and Cody's reluctance to action due to untreated depression.</t>
  </si>
  <si>
    <t>A01C11S03</t>
  </si>
  <si>
    <t>CODY returns home. Falls asleep in the dark of his house though his colleagues, especially Kei, invite him out. But he hears pleading on the other side of the door.</t>
  </si>
  <si>
    <t>A01C12S01</t>
  </si>
  <si>
    <t>Anxiety and Avoidance</t>
  </si>
  <si>
    <t>KATIYA, Ryder, and Paxton rush to save Bertram, who is on the edge of death. They carry him to the base.</t>
  </si>
  <si>
    <t>A01C12S02</t>
  </si>
  <si>
    <t>KATIYA is blamed for everything, shut out by everyone, without anyone to lean on as she nears collapse. The only person left to plead for help is Cody.</t>
  </si>
  <si>
    <t>A02C13S01</t>
  </si>
  <si>
    <t>The Sleeping Knight</t>
  </si>
  <si>
    <t>Katiya crosses over in a panic attack. Cody stays with her until she falls asleep. Cody stays up in garage working on drone.</t>
  </si>
  <si>
    <t>Act 2</t>
  </si>
  <si>
    <t>A02C13S02</t>
  </si>
  <si>
    <t>Next morning, awkward breakfast. She's embarrassed. He's weirdly calm. KATIYA and Cody agree: "No interfering too much." They both clearly plan to ignore that rule. Cody offers her a recovery day.</t>
  </si>
  <si>
    <t>A02C14S01</t>
  </si>
  <si>
    <t>Luddite By Chance</t>
  </si>
  <si>
    <t>CODY gives Katiya a lazy day, gradually introduced to things. Set ground rules for roommateship.</t>
  </si>
  <si>
    <t>A02C14S02</t>
  </si>
  <si>
    <t>First car ride with Cody: KATIYA is terrified of speed and they nearly crash.</t>
  </si>
  <si>
    <t>A02C14S03</t>
  </si>
  <si>
    <t>KATIYA and Cody go to Costco to run errands. Katiya is overwhelmed by Cody's future world.</t>
  </si>
  <si>
    <t>A02C15S01</t>
  </si>
  <si>
    <t>Technophile By Choice</t>
  </si>
  <si>
    <t>CODY goes on one of Katiya's daily morning runs around Gaffesend.</t>
  </si>
  <si>
    <t>A02C15S02</t>
  </si>
  <si>
    <t>KATIYA shows Cody around the town. Alias as royal inventor. Encounter Jullian, share awkward interaction. Cody intervenes to help Katiya.</t>
  </si>
  <si>
    <t>A02C15S03</t>
  </si>
  <si>
    <t>KATIYA introduces Cody to her friends at the tavern. He gets along well.</t>
  </si>
  <si>
    <t>A02C16S01</t>
  </si>
  <si>
    <t>Back To Business</t>
  </si>
  <si>
    <t>CODY gets caught up in memories of excitement, showing an unfamiliar side. Cody's father, Alan, takes his son to lunch.</t>
  </si>
  <si>
    <t>A02C16S02</t>
  </si>
  <si>
    <t>CODY and Alan have some father-son time, and reminisce on the past, discussing Jackson.</t>
  </si>
  <si>
    <t>A02C16S03</t>
  </si>
  <si>
    <t>CODY finishes out the day and returns home, hoping to find Katiya's door open, but in a tsundere way.</t>
  </si>
  <si>
    <t>A02C17S01</t>
  </si>
  <si>
    <t>Onward To Chaos</t>
  </si>
  <si>
    <t>KATIYA sneaks into the base to visit Bertram at the hospital. Asks her to go with him to Hillfar to make peace with their past: she reluctantly agrees.</t>
  </si>
  <si>
    <t>A02C17S02</t>
  </si>
  <si>
    <t>KATIYA and Jullian are on guard duty at Gaffesend's central market. A thief steals something, and Katiya jumps to action before her body can react.</t>
  </si>
  <si>
    <t>A02C17S03</t>
  </si>
  <si>
    <t>Chase scene of KATIYA chasing the stranger, revealed to be a half-blooded Ahkvasan called Rayna that was the last resident of her home.</t>
  </si>
  <si>
    <t>A02C17S04</t>
  </si>
  <si>
    <t>Jullian downplays KATIYA's unlikely act of courage in jumping the gap to catch the assailant. Cody leaves her a treat.</t>
  </si>
  <si>
    <t>A02C18S01</t>
  </si>
  <si>
    <t>Civillian Combat</t>
  </si>
  <si>
    <t>CODY is volunteered for a civillian training class. Katiya watches from the sidelines. She pokes fun at him, and when he tries to fight, makes a humiliating mistake that gets Aldrin's attention.</t>
  </si>
  <si>
    <t>A02C18S02</t>
  </si>
  <si>
    <t>CODY shows his depth of character in a challenge course with ale at the end, valuing friendship over victory.</t>
  </si>
  <si>
    <t>A02C19S01</t>
  </si>
  <si>
    <t>Warrior Business</t>
  </si>
  <si>
    <t>Cody takes KATIYA into work for an open house. Meets Reed and encounters Kei again.</t>
  </si>
  <si>
    <t>A02C19S02</t>
  </si>
  <si>
    <t>Cody enthusiastically explains things while KATIYA is baffled by science. Katiya meets Cody's parents, Alan and Kim, and Cody has an awkward exhange with Kei and his mother.</t>
  </si>
  <si>
    <t>A02C19S03</t>
  </si>
  <si>
    <t>KATIYA and Cody continue walking around. They hide as a conversation happens between Reed and Kei regarding Cody not being present on the Wall of Future Talent.</t>
  </si>
  <si>
    <t>A02C20S01</t>
  </si>
  <si>
    <t>Domestic Relations</t>
  </si>
  <si>
    <t>Katiya tells CODY that she set up a date for him and Kei. They head home.</t>
  </si>
  <si>
    <t>A02C20S02</t>
  </si>
  <si>
    <t>CODY and Kei go on a date. They try to continue where they left off, but things feel different.</t>
  </si>
  <si>
    <t>A02C20S03</t>
  </si>
  <si>
    <t>At the same time, Jullian takes KATIYA on a date to the local hot springs. They briefly argue.</t>
  </si>
  <si>
    <t>A02C20S04</t>
  </si>
  <si>
    <t>CODY finds he can hardly remember the date. He sits with Kei at sushi. They talk about the past, and Cody insists he's better than okay.</t>
  </si>
  <si>
    <t>A02C21S01</t>
  </si>
  <si>
    <t>Foreign Affairs</t>
  </si>
  <si>
    <t>An uncomfortable truth is dragged out of Jullian by KATIYA when she sits in the cold tub.</t>
  </si>
  <si>
    <t>A02C21S02</t>
  </si>
  <si>
    <t>MIXED scene of Cody and Katiya having a bad time. Cody and Kei realize they are no longer a fit. Katiya snaps to Jullian who has been far too distant, growing apart.</t>
  </si>
  <si>
    <t>A02C21S03</t>
  </si>
  <si>
    <t>A02C21S04</t>
  </si>
  <si>
    <t>A02C21S05</t>
  </si>
  <si>
    <t>A02C21S06</t>
  </si>
  <si>
    <t>CODY and Kei get dirty at Cody's house, but Cody is depressed that it feels like a hookup. He always thought she would be "the one."</t>
  </si>
  <si>
    <t>A02C22S01</t>
  </si>
  <si>
    <t>Losing To Fear</t>
  </si>
  <si>
    <t>KATIYA passes her first series of exams, but struggles at the shooting test since she's stayed away from the base in humiliation. Her foil, ARYN, is calm and collected.</t>
  </si>
  <si>
    <t>A02C22S02</t>
  </si>
  <si>
    <t>CODY argues with Reed on a walk outside over the nature of being a level one engineer.</t>
  </si>
  <si>
    <t>A02C22S03</t>
  </si>
  <si>
    <t>KATIYA insists on leading the team in an exam exercise for the points. But she feels like she's lost her edge.</t>
  </si>
  <si>
    <t>A02C23S01</t>
  </si>
  <si>
    <t>Failing To Launch</t>
  </si>
  <si>
    <t>CODY makes his presentation to the team, but is criticized rather intensely.  Reed's executive allies shift the conversation.</t>
  </si>
  <si>
    <t>A02C23S02</t>
  </si>
  <si>
    <t>KATIYA's plan atrophies due to her slow advance. The other team gets the upper hand. Bertram is "killed" due to Katiya's incompetence, and she barges in to the other house.</t>
  </si>
  <si>
    <t>A02C24S01</t>
  </si>
  <si>
    <t>Friendly Fire</t>
  </si>
  <si>
    <t>REED gives his presentation. CODY is the only one to provide light criticisms, and is attacked for being jealous. Cody finally snaps, calling everyone out in an almost firable way.</t>
  </si>
  <si>
    <t>A02C24S02</t>
  </si>
  <si>
    <t>KATIYA's team is outsmarted by the other side. ARYN challenges Katiya directly, and she loses. She is told that she is below the line, and discovers that her family has been in Gaffesend for a while.</t>
  </si>
  <si>
    <t>A02C25S01</t>
  </si>
  <si>
    <t>A House Divided</t>
  </si>
  <si>
    <t>CODY races home in a bottleneck of his failures, doubting himself.</t>
  </si>
  <si>
    <t>A02C25S02</t>
  </si>
  <si>
    <t>KATIYA sits on Cody's couch. They have a bitter argument driven by their failures, and end up closing the door on each other again.</t>
  </si>
  <si>
    <t>A03C26S01</t>
  </si>
  <si>
    <t>Cold War</t>
  </si>
  <si>
    <t>JACKSON approaches the landzone to commence Operation Bluewings. The cold makes him uncomfortable over his tech.</t>
  </si>
  <si>
    <t>Act 3</t>
  </si>
  <si>
    <t>A03C26S02</t>
  </si>
  <si>
    <t>They arrive at the operating point. JACKSON flies the drone, but falters due to the weather, and it crashes, alterting the enemy.</t>
  </si>
  <si>
    <t>A03C26S03</t>
  </si>
  <si>
    <t>The operation is aborted. JACKSON's team climb the hill, resisting the first scouts. In an act of courage, Jackson sacrifices himself to make contact with Overwatch.</t>
  </si>
  <si>
    <t>A03C27S01</t>
  </si>
  <si>
    <t>Warm Solitude</t>
  </si>
  <si>
    <t>A decade earlier, KATIYA swings between trees with friends Bertram, Raph, and Raven to get over the protective wall. They encounter older kids that challenge them to a game of hide-and-seek.</t>
  </si>
  <si>
    <t>A03C27S02</t>
  </si>
  <si>
    <t>They take refuge in the treehouse: Raph is the last to climb, and is assaulted by the Chymaerans. The treehouse collapses. Raph is skewered by a branch through his throat. And KATIYA feels a new emotion for the first time as she runs away.</t>
  </si>
  <si>
    <t>Climactic Emotive Action</t>
  </si>
  <si>
    <t>A03C27S03</t>
  </si>
  <si>
    <t>KATIYA hides in the pit of corpses as she tries to stabilize Raph, waiting for the Chymaeran Death Scouts to leave. They return with a lie, and Katiya is never the same.</t>
  </si>
  <si>
    <t>A03C28S01</t>
  </si>
  <si>
    <t>Prometheus</t>
  </si>
  <si>
    <t>Months later, a one-on-one with Naveen shows CODY has improved, but he is even more depressed and bored. At company lunch, he sits with his father Alan. REED gets the promotion, and Alan tries to comfort his son and hide his disappointment.</t>
  </si>
  <si>
    <t>A03C28S02</t>
  </si>
  <si>
    <t>REED approaches CODY for help with refining his prototype with many issues. They work together, and Cody begins to remember what passions he had in the first place.</t>
  </si>
  <si>
    <t>A03C28S03</t>
  </si>
  <si>
    <t>CODY returns home. He toils in the garage on a rare emotional high, using a forgotten pouch of Essence as flux for repairing a flashlight. When the circuit closes, it fires the three batteries as projectiles, giving Cody an idea.</t>
  </si>
  <si>
    <t>A03C29S01</t>
  </si>
  <si>
    <t>Once Lovers</t>
  </si>
  <si>
    <t>KATIYA's family talking with her over the dinner table, assured everything is alright. Brother Erik asks why she lies, but goes along with it.</t>
  </si>
  <si>
    <t>Critical Dialogue</t>
  </si>
  <si>
    <t>A03C29S02</t>
  </si>
  <si>
    <t>Walking home, KATIYA encounters Jullian kissing another girl in the tavern through the window. Aryn eyes her, watching her respond confidently and respectfully.</t>
  </si>
  <si>
    <t>A03C29S03</t>
  </si>
  <si>
    <t>A03C29S04</t>
  </si>
  <si>
    <t>Brief interlude where CODY does an evening test after everybody leaves with Essence and a battery, using father's credentials. System oversurges. Cody quickly leaves.</t>
  </si>
  <si>
    <t>A03C30S01</t>
  </si>
  <si>
    <t>Cold Sweat</t>
  </si>
  <si>
    <t>KATIYA goes on a run with ARYN that turns into a walk where they discuss their lives, and Aryn's admiration of Katiya.</t>
  </si>
  <si>
    <t>A03C30S02</t>
  </si>
  <si>
    <t>CODY and Reed are at the gym. Discussion of Kei and Reed's relationship, questions about battery project. Cody seeds that he might have made a breakthrough.</t>
  </si>
  <si>
    <t>A03C30S03</t>
  </si>
  <si>
    <t>KATIYA resumes conversation with ARYN, noting similarities to Cody, realizing she misses him.</t>
  </si>
  <si>
    <t>A03C30S04</t>
  </si>
  <si>
    <t>CODY ends his gym session with REED, noting similarities to Katiya, realizing he misses her.</t>
  </si>
  <si>
    <t>A03C31S01</t>
  </si>
  <si>
    <t>Heating Up</t>
  </si>
  <si>
    <t>KATIYA is exhausted from overwork, but goes for a run in the evening. Passes out. Wakes to emergency text from Cody.</t>
  </si>
  <si>
    <t>A03C31S02</t>
  </si>
  <si>
    <t>CODY narrowly dodges Internal Affairs after powering through redlines and Naveen letting him go home early.</t>
  </si>
  <si>
    <t>A03C31S03</t>
  </si>
  <si>
    <t>KATIYA saves Cody with Rayna, and they almost share a romantic beat. Rayna will stay with Cody/Katiya indefiniitely.</t>
  </si>
  <si>
    <t>A03C32S01</t>
  </si>
  <si>
    <t>Fantastic Modernity</t>
  </si>
  <si>
    <t>Mirror scene of KATIYA waking to panic where there was nobody there last time: finds Cody who comforts her.</t>
  </si>
  <si>
    <t>A03C32S02</t>
  </si>
  <si>
    <t>CODY wakes to Katiya next to him: bottleneck discussion with Katiya and Rayna before Cody's friends arrive.</t>
  </si>
  <si>
    <t>A03C32S03</t>
  </si>
  <si>
    <t>CODY, Katiya, Rayna, Miguel, Kei and Reed meet at Cody's house to go to the renaissance faire. They arrive at the entry gate.</t>
  </si>
  <si>
    <t>A03C33S01</t>
  </si>
  <si>
    <t>Modern Fantasy</t>
  </si>
  <si>
    <t>While the others fetch meals, CODY and Kei indirectly admit their "break up" in a refreshing exchange.</t>
  </si>
  <si>
    <t>A03C33S02</t>
  </si>
  <si>
    <t>KATIYA and Rayna battle at the end of their tournament bracket: Katiya wins, and kisses Cody by pressure from the crowd. Some email bludgeons Cody.</t>
  </si>
  <si>
    <t>A03C33S03</t>
  </si>
  <si>
    <t>[INTERLUDE] KATIYA wakes to the smell of smoke all the way from Cody's side: discovers something has happened in Gaffesend and is late to report.</t>
  </si>
  <si>
    <t>A03C34S01</t>
  </si>
  <si>
    <t>Professional Death</t>
  </si>
  <si>
    <t>Cody is afraid to enter work. Sneaks in through the technician door. Throws up before making it to his desk.</t>
  </si>
  <si>
    <t>A03C34S02</t>
  </si>
  <si>
    <t>Called into an emergency HR meeting. Shown footage of his presence. Father in room. Asked to explain.</t>
  </si>
  <si>
    <t>A03C34S03</t>
  </si>
  <si>
    <t>Father speaks up. Tells lie to protect son and is fired on the spot.</t>
  </si>
  <si>
    <t>A03C35S01</t>
  </si>
  <si>
    <t>Physical Demise</t>
  </si>
  <si>
    <t>Katiya responds to Bertram's disappearance.</t>
  </si>
  <si>
    <t>A03C35S02</t>
  </si>
  <si>
    <t>Jullian and Aryn confront Katiya.</t>
  </si>
  <si>
    <t>A03C35S03</t>
  </si>
  <si>
    <t>Katiya fails to save her best friend.</t>
  </si>
  <si>
    <t>A03C36S01</t>
  </si>
  <si>
    <t>Holding On</t>
  </si>
  <si>
    <t>Clears out desk, but still stubbornly refuses to quit. Kei and Reed try to console him.</t>
  </si>
  <si>
    <t>Strong Emotive Theme</t>
  </si>
  <si>
    <t>Leaning Truth</t>
  </si>
  <si>
    <t>A03C36S02</t>
  </si>
  <si>
    <t>Ends up on the floor at his father's toolbox: opens to find picture of him and his brother.</t>
  </si>
  <si>
    <t>A03C36S03</t>
  </si>
  <si>
    <t>A03C37S01</t>
  </si>
  <si>
    <t>Letting Go</t>
  </si>
  <si>
    <t>Aldrin reacts to the aftermath, calling for tribunal and her suspension.</t>
  </si>
  <si>
    <t>A03C37S02</t>
  </si>
  <si>
    <t>Katiya returns with Erik and the others. Her past is reframed in a misunderstanding.</t>
  </si>
  <si>
    <t>A03C37S03</t>
  </si>
  <si>
    <t>Cody has an internal debate over what to do next. Finds memories from his past doing the drone project.</t>
  </si>
  <si>
    <t>A03C37S04</t>
  </si>
  <si>
    <t>Katiya attends the memorial service to say goodbye.</t>
  </si>
  <si>
    <t>Extreme Dramatics</t>
  </si>
  <si>
    <t>Apex</t>
  </si>
  <si>
    <t>A04C38S01</t>
  </si>
  <si>
    <t>Bottoming Out</t>
  </si>
  <si>
    <t>Cody is spiraling alone when Katiya arrives shattered by Bertram's death. Instead of pushing each other away, they finally speak honestly about grief, failure, and what is breaking inside them.</t>
  </si>
  <si>
    <t>Act 4</t>
  </si>
  <si>
    <t>A04C38S02</t>
  </si>
  <si>
    <t>Katiya receives her tribunal summons, turning her fear into a deadline. Cody's late message gives her one reason to keep moving instead of giving up.</t>
  </si>
  <si>
    <t>A04C39S01</t>
  </si>
  <si>
    <t>Crossing Over</t>
  </si>
  <si>
    <t>Cody wakes beside Katiya and is thrown into a terrifying first encounter with Titus and Sylvia. Their arrival makes it clear that a much larger disaster is closing in.</t>
  </si>
  <si>
    <t>A04C39S02</t>
  </si>
  <si>
    <t>Rayna, Titus, and Sylvia explain the larger conflict and what may be coming for Gaffesend. Katiya realizes her problems are no longer just local or personal.</t>
  </si>
  <si>
    <t>A04C39S03</t>
  </si>
  <si>
    <t>Cody and Katiya go to the gym, where flirtation turns into a brutal push toward discipline and survival. The scene reframes their bond as something that can strengthen them instead of just comforting them.</t>
  </si>
  <si>
    <t>A04C40S01</t>
  </si>
  <si>
    <t>Reaching Up</t>
  </si>
  <si>
    <t>Katiya brings the group into Cody's world for coffee and planning. The outing is funny on the surface, but it marks the start of real coalition-building.</t>
  </si>
  <si>
    <t>Strong Truth</t>
  </si>
  <si>
    <t>A04C40S02</t>
  </si>
  <si>
    <t>Cody reveals his abandoned drone project, and the others immediately see battlefield value in it. What he thought was dead becomes central to their plans.</t>
  </si>
  <si>
    <t>A04C40S03</t>
  </si>
  <si>
    <t>Cody's friends and Firebrand's refugees gather under one roof and begin functioning like a team. The chapter ends with Aryn arriving, bringing the outside pressure back to the door.</t>
  </si>
  <si>
    <t>A04C41S01</t>
  </si>
  <si>
    <t>Annealment</t>
  </si>
  <si>
    <t>Cody begins rebuilding the drone with real help instead of shame and secrecy. The work gives him momentum and opens a path toward Reed's promised opportunity.</t>
  </si>
  <si>
    <t>A04C41S02</t>
  </si>
  <si>
    <t>Aryn visits with Katiya's tribunal date while Rayna hides dangerously close by. Katiya has to balance gratitude, guilt, and deception without letting the truth surface.</t>
  </si>
  <si>
    <t>A04C41S03</t>
  </si>
  <si>
    <t>Katiya escorts Rayna, Titus, and Sylvia toward a covert contact, but the mission reveals that they are already being watched. The danger expands from political secrecy into something stranger and more dangerous.</t>
  </si>
  <si>
    <t>A04C42S01</t>
  </si>
  <si>
    <t>Eutectic Point</t>
  </si>
  <si>
    <t>Aliaki introduces Katiya to a much larger network of people and stakes beyond Gaffesend. The conflict around her suddenly feels geopolitical instead of provincial.</t>
  </si>
  <si>
    <t>A04C42S02</t>
  </si>
  <si>
    <t>Cody visits Reed's family property and gets a look at the scale of life Reed comes from. The trip sharpens Reed's role as both foil and bridge to Cody's future.</t>
  </si>
  <si>
    <t>A04C42S03</t>
  </si>
  <si>
    <t>Jade and Aliaki explain the travel spheres and the fragile power they represent. By accepting them, Katiya steps deeper into a responsibility few people around her can even understand.</t>
  </si>
  <si>
    <t>A04C43S01</t>
  </si>
  <si>
    <t>Harsh Noise</t>
  </si>
  <si>
    <t>Cody starts real fabrication work in Reed's family machine space. For the first time in a while, engineering feels like craft, pride, and possibility instead of failure.</t>
  </si>
  <si>
    <t>A04C43S02</t>
  </si>
  <si>
    <t>Katiya's fragile alliance almost tears itself apart when Sylvia and Jade clash. The scene proves how unstable this coalition still is, even when everyone wants the same outcome.</t>
  </si>
  <si>
    <t>A04C43S03</t>
  </si>
  <si>
    <t>Cody becomes the emotional buffer during Aryn and Rayna's painful reunion. His home keeps turning into neutral ground for people carrying too much grief.</t>
  </si>
  <si>
    <t>A04C44S01</t>
  </si>
  <si>
    <t>In Loving Memory</t>
  </si>
  <si>
    <t>Cody talks with Aryn and Rayna about grief through the lens of Jackson. The conversation creates connection by letting all three speak plainly about loss.</t>
  </si>
  <si>
    <t>A04C44S02</t>
  </si>
  <si>
    <t>Katiya comes home expecting more disaster and instead finds proof that Cody spent the night caring for others. The quiet sight of him lets her choose softness instead of fear.</t>
  </si>
  <si>
    <t>A04C44S03</t>
  </si>
  <si>
    <t>Cody and Katiya wake after a rare peaceful night together. The warmth is real, but the day ahead still carries consequences they cannot avoid.</t>
  </si>
  <si>
    <t>A04C45S01</t>
  </si>
  <si>
    <t>In Future Grief</t>
  </si>
  <si>
    <t>Cody visits his parents and walks straight into their fear about his future. Their concern is real, but it comes out as pressure he can barely carry.</t>
  </si>
  <si>
    <t>A04C45S02</t>
  </si>
  <si>
    <t>Katiya tells her family what she believes is coming and why she still intends to stand against it. The scene frames her courage as a choice, not just obedience to duty.</t>
  </si>
  <si>
    <t>A04C45S03</t>
  </si>
  <si>
    <t>Cody reveals the rebuilt drone and ties it directly to Jackson's memory. The machine becomes both memorial and proof that he has not quit on his future.</t>
  </si>
  <si>
    <t>A04C46S01</t>
  </si>
  <si>
    <t>Close Quarters</t>
  </si>
  <si>
    <t>Cody tests the prototype in Katiya's world with Titus and Sylvia watching. The demonstration proves his work may actually matter in the coming fight.</t>
  </si>
  <si>
    <t>A04C46S02</t>
  </si>
  <si>
    <t>When Cody pushes the test with Essence, the result is devastatingly powerful. The blast proves the weapon works, but also shows how badly they still misunderstand it.</t>
  </si>
  <si>
    <t>A04C46S03</t>
  </si>
  <si>
    <t>Royal Guard pressure outside Katiya's house forces the group to reroute and hide instead of confronting it. In Cody's world, he and Katiya finally stop pretending they have unlimited time.</t>
  </si>
  <si>
    <t>A04C46S04</t>
  </si>
  <si>
    <t>With tomorrow hanging over them, Cody and Katiya spend one last night in full awareness of what they may lose. Their feelings become explicit at the exact moment separation is closing in.</t>
  </si>
  <si>
    <t>A04C47S01</t>
  </si>
  <si>
    <t>Ground Control</t>
  </si>
  <si>
    <t>Cody returns to Navidson-Monroe carrying his suit and the weight of what this day might cost him. He forces himself inside anyway, determined to reach Aspen before the company can close around him.</t>
  </si>
  <si>
    <t>A04C47S02</t>
  </si>
  <si>
    <t>Katiya wakes to find Royal Guard surrounding her home in a blizzard, taking her in as a flight risk "for her own safety." When she tries to escape, Erik catches her and becomes the first barrier she cannot simply outrun.</t>
  </si>
  <si>
    <t>A04C47S03</t>
  </si>
  <si>
    <t>Cody changes into his suit and tries to slip upward toward the conference room, but his badge fails and HR intercepts him before he can get there. His plan to move quietly turns into a formal containment.</t>
  </si>
  <si>
    <t>A04C47S04</t>
  </si>
  <si>
    <t>Katiya is jailed beside Titus and Sylvia, who offer to break everyone out by force. When she sees Aryn is the one guarding her, she decides on a riskier, smarter approach instead.</t>
  </si>
  <si>
    <t>A04C48S01</t>
  </si>
  <si>
    <t>Metanoia</t>
  </si>
  <si>
    <t>Cody is pulled into a glass conference room where HR tries to reduce him to a clean termination case, with Reed present as witness. Cody refuses to sign, clears his father, and forces the company to deal with the messier truth of what he actually did.</t>
  </si>
  <si>
    <t>A04C48S02</t>
  </si>
  <si>
    <t>Katiya apologizes for hiding Rayna, explains what is coming, and demands an audience with Aldrin. Aryn cuffs herself to Katiya and chooses to help her force a path through a system that refuses to listen.</t>
  </si>
  <si>
    <t>A04C48S03</t>
  </si>
  <si>
    <t>Upper management asks for Cody by name, forcing Aerospace and HR into conflict over whether he is a liability or an asset. Reed becomes Cody's reluctant way up the tower, using his access to move him toward Aspen while Security tries to shut the route down.</t>
  </si>
  <si>
    <t>A04C48S04</t>
  </si>
  <si>
    <t>Katiya and Aryn fight their way across the base until Erik blocks the last path to Aldrin. Katiya convinces him to let her go, and the choice costs him as much as it frees her. Katiya tackles Aldrin over his desk with the sphere and warps him to the final meet with Aliaki and Jade.</t>
  </si>
  <si>
    <t>A04C48S05</t>
  </si>
  <si>
    <t>(SHORT) Cody reaches Aspen and is finally allowed to present, pulled between the company that wants him contained and the people who want to hear him speak.</t>
  </si>
  <si>
    <t>A04C49S01</t>
  </si>
  <si>
    <t>Paragate</t>
  </si>
  <si>
    <t>Earlier and offscreen, Katiya brings Aldrin face-to-face with the reality of the approaching threat, and Jade and Aliaki reinforce what she has forced him to witness. When the Royal Knights arrive, Aldrin calls them off and chooses to bet on Katiya's madness being the truth.</t>
  </si>
  <si>
    <t>A04C49S02</t>
  </si>
  <si>
    <t>Cody drives home in his suit with his father's technician shirt over it, unsure whether his presentation changed anything. What he does know is that Katiya still needs him, and that is enough to make his next decision.</t>
  </si>
  <si>
    <t>A04C49S03</t>
  </si>
  <si>
    <t>With no time to be formally legitimized, Katiya throws herself into directing the defense in mixed common clothes and Guard armor. She distributes comms, coordinates with Aldrin, and begins leading people more powerful than she is.</t>
  </si>
  <si>
    <t>A04C49S04</t>
  </si>
  <si>
    <t>Cody bundles himself in Jackson's old camo jacket, carries the drone into Katiya's world, and takes up overwatch from a tower. His voice over comms is shaky, but he is there, and that matters to Katiya more than she wants to admit.</t>
  </si>
  <si>
    <t>A04C49S05</t>
  </si>
  <si>
    <t>Katiya executes a defense that mirrors the exam she once failed, and this time Cody's drone gives her the advantage she needs. Even as comms begin to falter in the storm, it feels for one dangerous moment like they may actually survive this.</t>
  </si>
  <si>
    <t>A04C50S01</t>
  </si>
  <si>
    <t>Knightfall</t>
  </si>
  <si>
    <t>Watching the drone feed, Cody spots enemy figures crossing the lake and realizes the defenses are no longer where they need to be. When comms fail, he leaves the drone idling and runs into the storm to warn Katiya in person.</t>
  </si>
  <si>
    <t>A04C50S02</t>
  </si>
  <si>
    <t>Katiya realizes the initial front only held because of the overwhelming strength of the bonus allies fighting there. As the Essence rifle runs dry, Cody finally reaches her on foot just as the drone crashes into the snow.</t>
  </si>
  <si>
    <t>A04C50S03</t>
  </si>
  <si>
    <t>Extreme Action</t>
  </si>
  <si>
    <t>A04C50S04</t>
  </si>
  <si>
    <t>A04C51S01</t>
  </si>
  <si>
    <t>Daybreak</t>
  </si>
  <si>
    <t>Katiya reaches the burning district and finds Nhytyx leading the same kind of horror that defined her childhood trauma: except Endogeny is present (Firebrand). For one terrible beat she feels the old paralysis, then starts giving orders and moving anyway.</t>
  </si>
  <si>
    <t>A04C51S02</t>
  </si>
  <si>
    <t>Cody ignores Katiya's command to leave and follows just far enough behind to matter. He makes one small but decisive assist—protecting or pulling clear the person Katiya cannot split herself to save—so she can confront the real threat.</t>
  </si>
  <si>
    <t>A04C51S03</t>
  </si>
  <si>
    <t>Katiya defeats Nhytyx and saves her family in a direct mirror of the scene that once broke her. At dawn, she completes one final public action that proves to the city and to herself that she has become the protector she always wanted to be.</t>
  </si>
  <si>
    <t>Central Emotive Theme</t>
  </si>
  <si>
    <t>Parasmagate</t>
  </si>
  <si>
    <t>Threaded Echoes</t>
  </si>
  <si>
    <t>Epilogue of Paragate.</t>
  </si>
  <si>
    <t>Teaser for new Firebrand and Goldenfur.</t>
  </si>
  <si>
    <t>Titus</t>
  </si>
  <si>
    <t>A05C52S01</t>
  </si>
  <si>
    <t>A05C53S01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</si>
</sst>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0" borderId="1" xfId="0" applyFont="1" applyBorder="1" applyAlignment="1">
      <alignment horizontal="left" vertical="top"/>
    </xf>
    <xf numFmtId="0" fontId="0" fillId="0" borderId="0" xfId="0" applyAlignment="1">
      <alignment horizontal="left"/>
    </xf>
    <xf numFmtId="2" fontId="0" fillId="0" borderId="0" xfId="0" applyNumberFormat="1" applyAlignment="1">
      <alignment horizontal="center"/>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61"/>
  <sheetViews>
    <sheetView tabSelected="1" topLeftCell="L1" workbookViewId="0">
      <pane ySplit="1" topLeftCell="A152" activePane="bottomLeft" state="frozen"/>
      <selection pane="bottomLeft" activeCell="AA162" sqref="AA162"/>
    </sheetView>
  </sheetViews>
  <sheetFormatPr defaultColWidth="9" defaultRowHeight="14.5" x14ac:dyDescent="0.35"/>
  <cols>
    <col min="1" max="1" width="14" style="2" customWidth="1"/>
    <col min="2" max="2" width="7" customWidth="1"/>
    <col min="3" max="3" width="8" customWidth="1"/>
    <col min="4" max="4" width="24" customWidth="1"/>
    <col min="5" max="5" width="7" customWidth="1"/>
    <col min="6" max="6" width="10" customWidth="1"/>
    <col min="7" max="7" width="9" customWidth="1"/>
    <col min="8" max="8" width="70" style="4" customWidth="1"/>
    <col min="9" max="9" width="10" style="2" customWidth="1"/>
    <col min="10" max="12" width="8" style="6" customWidth="1"/>
    <col min="13" max="13" width="10" style="6" customWidth="1"/>
    <col min="14" max="14" width="8" style="6" customWidth="1"/>
    <col min="15" max="15" width="10" customWidth="1"/>
    <col min="16" max="16" width="20" style="4" bestFit="1" customWidth="1"/>
    <col min="17" max="17" width="9" style="2" customWidth="1"/>
    <col min="18" max="22" width="9" customWidth="1"/>
    <col min="23" max="25" width="10" customWidth="1"/>
    <col min="26" max="26" width="18" customWidth="1"/>
    <col min="27" max="27" width="16" customWidth="1"/>
    <col min="28" max="28" width="12" customWidth="1"/>
    <col min="29" max="29" width="10" customWidth="1"/>
    <col min="30" max="16384" width="9" style="2"/>
  </cols>
  <sheetData>
    <row r="1" spans="1: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5">
      <c r="A2" s="2" t="s">
        <v>29</v>
      </c>
      <c r="B2" s="2">
        <v>1</v>
      </c>
      <c r="C2" s="2">
        <v>1</v>
      </c>
      <c r="D2" s="2" t="s">
        <v>30</v>
      </c>
      <c r="E2" s="2">
        <v>1</v>
      </c>
      <c r="F2" s="2" t="s">
        <v>31</v>
      </c>
      <c r="G2" s="2">
        <v>1859</v>
      </c>
      <c r="H2" s="4" t="s">
        <v>32</v>
      </c>
      <c r="I2" s="2" t="str">
        <f t="shared" ref="I2:I33" si="0">B2&amp;"."&amp;C2&amp;"."&amp;E2</f>
        <v>1.1.1</v>
      </c>
      <c r="J2" s="5">
        <f>T2/10</f>
        <v>6.5900000000000007</v>
      </c>
      <c r="K2" s="5">
        <f>U2/10</f>
        <v>5.9</v>
      </c>
      <c r="L2" s="5">
        <f>V2/10</f>
        <v>7.2200000000000006</v>
      </c>
      <c r="M2" s="5">
        <f>AA2/100</f>
        <v>-4.2999999999999997E-2</v>
      </c>
      <c r="N2" s="5">
        <f>SUM(J2:L2)</f>
        <v>19.71</v>
      </c>
      <c r="O2" s="2">
        <v>323</v>
      </c>
      <c r="P2" s="4" t="s">
        <v>33</v>
      </c>
      <c r="Q2">
        <v>36.700000000000003</v>
      </c>
      <c r="R2">
        <v>19.8</v>
      </c>
      <c r="S2">
        <v>42</v>
      </c>
      <c r="T2">
        <v>65.900000000000006</v>
      </c>
      <c r="U2">
        <v>59</v>
      </c>
      <c r="V2">
        <v>72.2</v>
      </c>
      <c r="W2" t="s">
        <v>34</v>
      </c>
      <c r="X2" t="s">
        <v>35</v>
      </c>
      <c r="Y2" t="s">
        <v>34</v>
      </c>
      <c r="Z2" t="s">
        <v>36</v>
      </c>
      <c r="AA2">
        <v>-4.3</v>
      </c>
      <c r="AB2">
        <v>197.1</v>
      </c>
      <c r="AC2" t="s">
        <v>37</v>
      </c>
    </row>
    <row r="3" spans="1:29" x14ac:dyDescent="0.35">
      <c r="A3" s="2" t="s">
        <v>38</v>
      </c>
      <c r="B3" s="2">
        <v>1</v>
      </c>
      <c r="C3" s="2">
        <v>1</v>
      </c>
      <c r="D3" s="2" t="s">
        <v>30</v>
      </c>
      <c r="E3" s="2">
        <v>2</v>
      </c>
      <c r="F3" s="2" t="s">
        <v>31</v>
      </c>
      <c r="G3" s="2">
        <v>1497</v>
      </c>
      <c r="H3" s="4" t="s">
        <v>39</v>
      </c>
      <c r="I3" s="2" t="str">
        <f t="shared" si="0"/>
        <v>1.1.2</v>
      </c>
      <c r="J3" s="5">
        <f t="shared" ref="J3:J66" si="1">T3/10</f>
        <v>6.9799999999999995</v>
      </c>
      <c r="K3" s="5">
        <f t="shared" ref="K3:K66" si="2">U3/10</f>
        <v>5.71</v>
      </c>
      <c r="L3" s="5">
        <f t="shared" ref="L3:L66" si="3">V3/10</f>
        <v>6.51</v>
      </c>
      <c r="M3" s="5">
        <f t="shared" ref="M3:M66" si="4">AA3/100</f>
        <v>-7.2000000000000008E-2</v>
      </c>
      <c r="N3" s="5">
        <f t="shared" ref="N3:N66" si="5">SUM(J3:L3)</f>
        <v>19.2</v>
      </c>
      <c r="O3" s="2">
        <v>323</v>
      </c>
      <c r="P3" s="4" t="s">
        <v>33</v>
      </c>
      <c r="Q3">
        <v>40.700000000000003</v>
      </c>
      <c r="R3">
        <v>19.2</v>
      </c>
      <c r="S3">
        <v>33.299999999999997</v>
      </c>
      <c r="T3">
        <v>69.8</v>
      </c>
      <c r="U3">
        <v>57.1</v>
      </c>
      <c r="V3">
        <v>65.099999999999994</v>
      </c>
      <c r="W3" t="s">
        <v>34</v>
      </c>
      <c r="X3" t="s">
        <v>35</v>
      </c>
      <c r="Y3" t="s">
        <v>34</v>
      </c>
      <c r="Z3" t="s">
        <v>36</v>
      </c>
      <c r="AA3">
        <v>-7.2</v>
      </c>
      <c r="AB3">
        <v>192</v>
      </c>
      <c r="AC3" t="s">
        <v>37</v>
      </c>
    </row>
    <row r="4" spans="1:29" x14ac:dyDescent="0.35">
      <c r="A4" s="2" t="s">
        <v>40</v>
      </c>
      <c r="B4" s="2">
        <v>1</v>
      </c>
      <c r="C4" s="2">
        <v>1</v>
      </c>
      <c r="D4" s="2" t="s">
        <v>30</v>
      </c>
      <c r="E4" s="2">
        <v>3</v>
      </c>
      <c r="F4" s="2" t="s">
        <v>31</v>
      </c>
      <c r="G4" s="2">
        <v>1273</v>
      </c>
      <c r="H4" s="4" t="s">
        <v>41</v>
      </c>
      <c r="I4" s="2" t="str">
        <f t="shared" si="0"/>
        <v>1.1.3</v>
      </c>
      <c r="J4" s="5">
        <f t="shared" si="1"/>
        <v>4.26</v>
      </c>
      <c r="K4" s="5">
        <f t="shared" si="2"/>
        <v>4.74</v>
      </c>
      <c r="L4" s="5">
        <f t="shared" si="3"/>
        <v>6.9700000000000006</v>
      </c>
      <c r="M4" s="5">
        <f t="shared" si="4"/>
        <v>-4.2000000000000003E-2</v>
      </c>
      <c r="N4" s="5">
        <f t="shared" si="5"/>
        <v>15.97</v>
      </c>
      <c r="O4" s="2">
        <v>223</v>
      </c>
      <c r="P4" s="4" t="s">
        <v>42</v>
      </c>
      <c r="Q4">
        <v>18.899999999999999</v>
      </c>
      <c r="R4">
        <v>9.4</v>
      </c>
      <c r="S4">
        <v>35.5</v>
      </c>
      <c r="T4">
        <v>42.6</v>
      </c>
      <c r="U4">
        <v>47.4</v>
      </c>
      <c r="V4">
        <v>69.7</v>
      </c>
      <c r="W4" t="s">
        <v>35</v>
      </c>
      <c r="X4" t="s">
        <v>35</v>
      </c>
      <c r="Y4" t="s">
        <v>34</v>
      </c>
      <c r="Z4" t="s">
        <v>36</v>
      </c>
      <c r="AA4">
        <v>-4.2</v>
      </c>
      <c r="AB4">
        <v>159.69999999999999</v>
      </c>
      <c r="AC4" t="s">
        <v>37</v>
      </c>
    </row>
    <row r="5" spans="1:29" x14ac:dyDescent="0.35">
      <c r="A5" s="2" t="s">
        <v>43</v>
      </c>
      <c r="B5" s="2">
        <v>1</v>
      </c>
      <c r="C5" s="2">
        <v>1</v>
      </c>
      <c r="D5" s="2" t="s">
        <v>30</v>
      </c>
      <c r="E5" s="2">
        <v>4</v>
      </c>
      <c r="F5" s="2" t="s">
        <v>31</v>
      </c>
      <c r="G5" s="2">
        <v>403</v>
      </c>
      <c r="H5" s="4" t="s">
        <v>44</v>
      </c>
      <c r="I5" s="2" t="str">
        <f t="shared" si="0"/>
        <v>1.1.4</v>
      </c>
      <c r="J5" s="5">
        <f t="shared" si="1"/>
        <v>4.8600000000000003</v>
      </c>
      <c r="K5" s="5">
        <f t="shared" si="2"/>
        <v>5.1100000000000003</v>
      </c>
      <c r="L5" s="5">
        <f t="shared" si="3"/>
        <v>7.7</v>
      </c>
      <c r="M5" s="5">
        <f t="shared" si="4"/>
        <v>-8.5000000000000006E-2</v>
      </c>
      <c r="N5" s="5">
        <f t="shared" si="5"/>
        <v>17.670000000000002</v>
      </c>
      <c r="O5" s="2">
        <v>223</v>
      </c>
      <c r="P5" s="4" t="s">
        <v>42</v>
      </c>
      <c r="Q5">
        <v>21.7</v>
      </c>
      <c r="R5">
        <v>11.8</v>
      </c>
      <c r="S5">
        <v>43.4</v>
      </c>
      <c r="T5">
        <v>48.6</v>
      </c>
      <c r="U5">
        <v>51.1</v>
      </c>
      <c r="V5">
        <v>77</v>
      </c>
      <c r="W5" t="s">
        <v>35</v>
      </c>
      <c r="X5" t="s">
        <v>35</v>
      </c>
      <c r="Y5" t="s">
        <v>34</v>
      </c>
      <c r="Z5" t="s">
        <v>36</v>
      </c>
      <c r="AA5">
        <v>-8.5</v>
      </c>
      <c r="AB5">
        <v>176.7</v>
      </c>
      <c r="AC5" t="s">
        <v>37</v>
      </c>
    </row>
    <row r="6" spans="1:29" x14ac:dyDescent="0.35">
      <c r="A6" s="2" t="s">
        <v>45</v>
      </c>
      <c r="B6" s="2">
        <v>1</v>
      </c>
      <c r="C6" s="2">
        <v>2</v>
      </c>
      <c r="D6" s="2" t="s">
        <v>46</v>
      </c>
      <c r="E6" s="2">
        <v>1</v>
      </c>
      <c r="F6" s="2" t="s">
        <v>47</v>
      </c>
      <c r="G6" s="2">
        <v>1188</v>
      </c>
      <c r="H6" s="4" t="s">
        <v>48</v>
      </c>
      <c r="I6" s="2" t="str">
        <f t="shared" si="0"/>
        <v>1.2.1</v>
      </c>
      <c r="J6" s="5">
        <f t="shared" si="1"/>
        <v>1.8800000000000001</v>
      </c>
      <c r="K6" s="5">
        <f t="shared" si="2"/>
        <v>6.09</v>
      </c>
      <c r="L6" s="5">
        <f t="shared" si="3"/>
        <v>5.4</v>
      </c>
      <c r="M6" s="5">
        <f t="shared" si="4"/>
        <v>7.0000000000000007E-2</v>
      </c>
      <c r="N6" s="5">
        <f t="shared" si="5"/>
        <v>13.370000000000001</v>
      </c>
      <c r="O6" s="2">
        <v>132</v>
      </c>
      <c r="P6" s="4" t="s">
        <v>49</v>
      </c>
      <c r="Q6">
        <v>0.5</v>
      </c>
      <c r="R6">
        <v>22.4</v>
      </c>
      <c r="S6">
        <v>19.7</v>
      </c>
      <c r="T6">
        <v>18.8</v>
      </c>
      <c r="U6">
        <v>60.9</v>
      </c>
      <c r="V6">
        <v>54</v>
      </c>
      <c r="W6" t="s">
        <v>50</v>
      </c>
      <c r="X6" t="s">
        <v>35</v>
      </c>
      <c r="Y6" t="s">
        <v>35</v>
      </c>
      <c r="Z6" t="s">
        <v>36</v>
      </c>
      <c r="AA6">
        <v>7</v>
      </c>
      <c r="AB6">
        <v>133.69999999999999</v>
      </c>
      <c r="AC6" t="s">
        <v>37</v>
      </c>
    </row>
    <row r="7" spans="1:29" x14ac:dyDescent="0.35">
      <c r="A7" s="2" t="s">
        <v>51</v>
      </c>
      <c r="B7" s="2">
        <v>1</v>
      </c>
      <c r="C7" s="2">
        <v>2</v>
      </c>
      <c r="D7" s="2" t="s">
        <v>46</v>
      </c>
      <c r="E7" s="2">
        <v>2</v>
      </c>
      <c r="F7" s="2" t="s">
        <v>47</v>
      </c>
      <c r="G7" s="2">
        <v>1112</v>
      </c>
      <c r="H7" s="4" t="s">
        <v>52</v>
      </c>
      <c r="I7" s="2" t="str">
        <f t="shared" si="0"/>
        <v>1.2.2</v>
      </c>
      <c r="J7" s="5">
        <f t="shared" si="1"/>
        <v>1.1499999999999999</v>
      </c>
      <c r="K7" s="5">
        <f t="shared" si="2"/>
        <v>5.33</v>
      </c>
      <c r="L7" s="5">
        <f t="shared" si="3"/>
        <v>5.4799999999999995</v>
      </c>
      <c r="M7" s="5">
        <f t="shared" si="4"/>
        <v>7.0999999999999994E-2</v>
      </c>
      <c r="N7" s="5">
        <f t="shared" si="5"/>
        <v>11.96</v>
      </c>
      <c r="O7" s="2">
        <v>122</v>
      </c>
      <c r="P7" s="4" t="s">
        <v>53</v>
      </c>
      <c r="Q7">
        <v>0</v>
      </c>
      <c r="R7">
        <v>15.2</v>
      </c>
      <c r="S7">
        <v>19.7</v>
      </c>
      <c r="T7">
        <v>11.5</v>
      </c>
      <c r="U7">
        <v>53.3</v>
      </c>
      <c r="V7">
        <v>54.8</v>
      </c>
      <c r="W7" t="s">
        <v>50</v>
      </c>
      <c r="X7" t="s">
        <v>35</v>
      </c>
      <c r="Y7" t="s">
        <v>35</v>
      </c>
      <c r="Z7" t="s">
        <v>36</v>
      </c>
      <c r="AA7">
        <v>7.1</v>
      </c>
      <c r="AB7">
        <v>119.6</v>
      </c>
      <c r="AC7" t="s">
        <v>37</v>
      </c>
    </row>
    <row r="8" spans="1:29" x14ac:dyDescent="0.35">
      <c r="A8" s="2" t="s">
        <v>54</v>
      </c>
      <c r="B8" s="2">
        <v>1</v>
      </c>
      <c r="C8" s="2">
        <v>2</v>
      </c>
      <c r="D8" s="2" t="s">
        <v>46</v>
      </c>
      <c r="E8" s="2">
        <v>3</v>
      </c>
      <c r="F8" s="2" t="s">
        <v>47</v>
      </c>
      <c r="G8" s="2">
        <v>1148</v>
      </c>
      <c r="H8" s="4" t="s">
        <v>55</v>
      </c>
      <c r="I8" s="2" t="str">
        <f t="shared" si="0"/>
        <v>1.2.3</v>
      </c>
      <c r="J8" s="5">
        <f t="shared" si="1"/>
        <v>2.27</v>
      </c>
      <c r="K8" s="5">
        <f t="shared" si="2"/>
        <v>5.43</v>
      </c>
      <c r="L8" s="5">
        <f t="shared" si="3"/>
        <v>5.7</v>
      </c>
      <c r="M8" s="5">
        <f t="shared" si="4"/>
        <v>7.400000000000001E-2</v>
      </c>
      <c r="N8" s="5">
        <f t="shared" si="5"/>
        <v>13.399999999999999</v>
      </c>
      <c r="O8" s="2">
        <v>122</v>
      </c>
      <c r="P8" s="4" t="s">
        <v>53</v>
      </c>
      <c r="Q8">
        <v>2</v>
      </c>
      <c r="R8">
        <v>16.2</v>
      </c>
      <c r="S8">
        <v>20.7</v>
      </c>
      <c r="T8">
        <v>22.7</v>
      </c>
      <c r="U8">
        <v>54.3</v>
      </c>
      <c r="V8">
        <v>57</v>
      </c>
      <c r="W8" t="s">
        <v>50</v>
      </c>
      <c r="X8" t="s">
        <v>35</v>
      </c>
      <c r="Y8" t="s">
        <v>35</v>
      </c>
      <c r="Z8" t="s">
        <v>36</v>
      </c>
      <c r="AA8">
        <v>7.4</v>
      </c>
      <c r="AB8">
        <v>134</v>
      </c>
      <c r="AC8" t="s">
        <v>37</v>
      </c>
    </row>
    <row r="9" spans="1:29" x14ac:dyDescent="0.35">
      <c r="A9" s="2" t="s">
        <v>56</v>
      </c>
      <c r="B9" s="2">
        <v>1</v>
      </c>
      <c r="C9" s="2">
        <v>3</v>
      </c>
      <c r="D9" s="2" t="s">
        <v>57</v>
      </c>
      <c r="E9" s="2">
        <v>1</v>
      </c>
      <c r="F9" s="2" t="s">
        <v>31</v>
      </c>
      <c r="G9" s="2">
        <v>1168</v>
      </c>
      <c r="H9" s="4" t="s">
        <v>58</v>
      </c>
      <c r="I9" s="2" t="str">
        <f t="shared" si="0"/>
        <v>1.3.1</v>
      </c>
      <c r="J9" s="5">
        <f t="shared" si="1"/>
        <v>2.9899999999999998</v>
      </c>
      <c r="K9" s="5">
        <f t="shared" si="2"/>
        <v>5.2200000000000006</v>
      </c>
      <c r="L9" s="5">
        <f t="shared" si="3"/>
        <v>4.4000000000000004</v>
      </c>
      <c r="M9" s="5">
        <f t="shared" si="4"/>
        <v>9.0000000000000011E-3</v>
      </c>
      <c r="N9" s="5">
        <f t="shared" si="5"/>
        <v>12.610000000000001</v>
      </c>
      <c r="O9" s="2">
        <v>122</v>
      </c>
      <c r="P9" s="4" t="s">
        <v>53</v>
      </c>
      <c r="Q9">
        <v>5.9</v>
      </c>
      <c r="R9">
        <v>14</v>
      </c>
      <c r="S9">
        <v>11.9</v>
      </c>
      <c r="T9">
        <v>29.9</v>
      </c>
      <c r="U9">
        <v>52.2</v>
      </c>
      <c r="V9">
        <v>44</v>
      </c>
      <c r="W9" t="s">
        <v>50</v>
      </c>
      <c r="X9" t="s">
        <v>35</v>
      </c>
      <c r="Y9" t="s">
        <v>35</v>
      </c>
      <c r="Z9" t="s">
        <v>36</v>
      </c>
      <c r="AA9">
        <v>0.9</v>
      </c>
      <c r="AB9">
        <v>126.1</v>
      </c>
      <c r="AC9" t="s">
        <v>37</v>
      </c>
    </row>
    <row r="10" spans="1:29" x14ac:dyDescent="0.35">
      <c r="A10" s="2" t="s">
        <v>59</v>
      </c>
      <c r="B10" s="2">
        <v>1</v>
      </c>
      <c r="C10" s="2">
        <v>3</v>
      </c>
      <c r="D10" s="2" t="s">
        <v>57</v>
      </c>
      <c r="E10" s="2">
        <v>2</v>
      </c>
      <c r="F10" s="2" t="s">
        <v>31</v>
      </c>
      <c r="G10" s="2">
        <v>1747</v>
      </c>
      <c r="H10" s="4" t="s">
        <v>60</v>
      </c>
      <c r="I10" s="2" t="str">
        <f t="shared" si="0"/>
        <v>1.3.2</v>
      </c>
      <c r="J10" s="5">
        <f t="shared" si="1"/>
        <v>3.17</v>
      </c>
      <c r="K10" s="5">
        <f t="shared" si="2"/>
        <v>6.2799999999999994</v>
      </c>
      <c r="L10" s="5">
        <f t="shared" si="3"/>
        <v>5.16</v>
      </c>
      <c r="M10" s="5">
        <f t="shared" si="4"/>
        <v>-0.13400000000000001</v>
      </c>
      <c r="N10" s="5">
        <f t="shared" si="5"/>
        <v>14.61</v>
      </c>
      <c r="O10" s="2">
        <v>232</v>
      </c>
      <c r="P10" s="4" t="s">
        <v>61</v>
      </c>
      <c r="Q10">
        <v>6.9</v>
      </c>
      <c r="R10">
        <v>22.4</v>
      </c>
      <c r="S10">
        <v>18.2</v>
      </c>
      <c r="T10">
        <v>31.7</v>
      </c>
      <c r="U10">
        <v>62.8</v>
      </c>
      <c r="V10">
        <v>51.6</v>
      </c>
      <c r="W10" t="s">
        <v>35</v>
      </c>
      <c r="X10" t="s">
        <v>34</v>
      </c>
      <c r="Y10" t="s">
        <v>35</v>
      </c>
      <c r="Z10" t="s">
        <v>62</v>
      </c>
      <c r="AA10">
        <v>-13.4</v>
      </c>
      <c r="AB10">
        <v>146.1</v>
      </c>
      <c r="AC10" t="s">
        <v>37</v>
      </c>
    </row>
    <row r="11" spans="1:29" x14ac:dyDescent="0.35">
      <c r="A11" s="2" t="s">
        <v>63</v>
      </c>
      <c r="B11" s="2">
        <v>1</v>
      </c>
      <c r="C11" s="2">
        <v>3</v>
      </c>
      <c r="D11" s="2" t="s">
        <v>57</v>
      </c>
      <c r="E11" s="2">
        <v>3</v>
      </c>
      <c r="F11" s="2" t="s">
        <v>31</v>
      </c>
      <c r="G11" s="2">
        <v>1360</v>
      </c>
      <c r="H11" s="4" t="s">
        <v>64</v>
      </c>
      <c r="I11" s="2" t="str">
        <f t="shared" si="0"/>
        <v>1.3.3</v>
      </c>
      <c r="J11" s="5">
        <f t="shared" si="1"/>
        <v>3.7600000000000002</v>
      </c>
      <c r="K11" s="5">
        <f t="shared" si="2"/>
        <v>5.8100000000000005</v>
      </c>
      <c r="L11" s="5">
        <f t="shared" si="3"/>
        <v>5.24</v>
      </c>
      <c r="M11" s="5">
        <f t="shared" si="4"/>
        <v>3.1E-2</v>
      </c>
      <c r="N11" s="5">
        <f t="shared" si="5"/>
        <v>14.81</v>
      </c>
      <c r="O11" s="2">
        <v>222</v>
      </c>
      <c r="P11" s="4" t="s">
        <v>65</v>
      </c>
      <c r="Q11">
        <v>8.9</v>
      </c>
      <c r="R11">
        <v>19.399999999999999</v>
      </c>
      <c r="S11">
        <v>18.899999999999999</v>
      </c>
      <c r="T11">
        <v>37.6</v>
      </c>
      <c r="U11">
        <v>58.1</v>
      </c>
      <c r="V11">
        <v>52.4</v>
      </c>
      <c r="W11" t="s">
        <v>35</v>
      </c>
      <c r="X11" t="s">
        <v>35</v>
      </c>
      <c r="Y11" t="s">
        <v>35</v>
      </c>
      <c r="Z11" t="s">
        <v>36</v>
      </c>
      <c r="AA11">
        <v>3.1</v>
      </c>
      <c r="AB11">
        <v>148.1</v>
      </c>
      <c r="AC11" t="s">
        <v>37</v>
      </c>
    </row>
    <row r="12" spans="1:29" x14ac:dyDescent="0.35">
      <c r="A12" s="2" t="s">
        <v>66</v>
      </c>
      <c r="B12" s="2">
        <v>1</v>
      </c>
      <c r="C12" s="2">
        <v>4</v>
      </c>
      <c r="D12" s="2" t="s">
        <v>67</v>
      </c>
      <c r="E12" s="2">
        <v>1</v>
      </c>
      <c r="F12" s="2" t="s">
        <v>47</v>
      </c>
      <c r="G12" s="2">
        <v>386</v>
      </c>
      <c r="H12" s="4" t="s">
        <v>68</v>
      </c>
      <c r="I12" s="2" t="str">
        <f t="shared" si="0"/>
        <v>1.4.1</v>
      </c>
      <c r="J12" s="5">
        <f t="shared" si="1"/>
        <v>4.9799999999999995</v>
      </c>
      <c r="K12" s="5">
        <f t="shared" si="2"/>
        <v>7.31</v>
      </c>
      <c r="L12" s="5">
        <f t="shared" si="3"/>
        <v>4.2200000000000006</v>
      </c>
      <c r="M12" s="5">
        <f t="shared" si="4"/>
        <v>-0.11800000000000001</v>
      </c>
      <c r="N12" s="5">
        <f t="shared" si="5"/>
        <v>16.509999999999998</v>
      </c>
      <c r="O12" s="2">
        <v>232</v>
      </c>
      <c r="P12" s="4" t="s">
        <v>61</v>
      </c>
      <c r="Q12">
        <v>26.3</v>
      </c>
      <c r="R12">
        <v>36.6</v>
      </c>
      <c r="S12">
        <v>9.6999999999999993</v>
      </c>
      <c r="T12">
        <v>49.8</v>
      </c>
      <c r="U12">
        <v>73.099999999999994</v>
      </c>
      <c r="V12">
        <v>42.2</v>
      </c>
      <c r="W12" t="s">
        <v>35</v>
      </c>
      <c r="X12" t="s">
        <v>34</v>
      </c>
      <c r="Y12" t="s">
        <v>35</v>
      </c>
      <c r="Z12" t="s">
        <v>62</v>
      </c>
      <c r="AA12">
        <v>-11.8</v>
      </c>
      <c r="AB12">
        <v>165.1</v>
      </c>
      <c r="AC12" t="s">
        <v>37</v>
      </c>
    </row>
    <row r="13" spans="1:29" x14ac:dyDescent="0.35">
      <c r="A13" s="2" t="s">
        <v>69</v>
      </c>
      <c r="B13" s="2">
        <v>1</v>
      </c>
      <c r="C13" s="2">
        <v>4</v>
      </c>
      <c r="D13" s="2" t="s">
        <v>67</v>
      </c>
      <c r="E13" s="2">
        <v>2</v>
      </c>
      <c r="F13" s="2" t="s">
        <v>47</v>
      </c>
      <c r="G13" s="2">
        <v>1413</v>
      </c>
      <c r="H13" s="4" t="s">
        <v>70</v>
      </c>
      <c r="I13" s="2" t="str">
        <f t="shared" si="0"/>
        <v>1.4.2</v>
      </c>
      <c r="J13" s="5">
        <f t="shared" si="1"/>
        <v>5.1100000000000003</v>
      </c>
      <c r="K13" s="5">
        <f t="shared" si="2"/>
        <v>6.9700000000000006</v>
      </c>
      <c r="L13" s="5">
        <f t="shared" si="3"/>
        <v>3.9799999999999995</v>
      </c>
      <c r="M13" s="5">
        <f t="shared" si="4"/>
        <v>-0.111</v>
      </c>
      <c r="N13" s="5">
        <f t="shared" si="5"/>
        <v>16.060000000000002</v>
      </c>
      <c r="O13" s="2">
        <v>232</v>
      </c>
      <c r="P13" s="4" t="s">
        <v>61</v>
      </c>
      <c r="Q13">
        <v>27.3</v>
      </c>
      <c r="R13">
        <v>31.8</v>
      </c>
      <c r="S13">
        <v>9.6999999999999993</v>
      </c>
      <c r="T13">
        <v>51.1</v>
      </c>
      <c r="U13">
        <v>69.7</v>
      </c>
      <c r="V13">
        <v>39.799999999999997</v>
      </c>
      <c r="W13" t="s">
        <v>35</v>
      </c>
      <c r="X13" t="s">
        <v>34</v>
      </c>
      <c r="Y13" t="s">
        <v>35</v>
      </c>
      <c r="Z13" t="s">
        <v>62</v>
      </c>
      <c r="AA13">
        <v>-11.1</v>
      </c>
      <c r="AB13">
        <v>160.6</v>
      </c>
      <c r="AC13" t="s">
        <v>37</v>
      </c>
    </row>
    <row r="14" spans="1:29" x14ac:dyDescent="0.35">
      <c r="A14" s="2" t="s">
        <v>71</v>
      </c>
      <c r="B14" s="2">
        <v>1</v>
      </c>
      <c r="C14" s="2">
        <v>4</v>
      </c>
      <c r="D14" s="2" t="s">
        <v>67</v>
      </c>
      <c r="E14" s="2">
        <v>3</v>
      </c>
      <c r="F14" s="2" t="s">
        <v>47</v>
      </c>
      <c r="G14" s="2">
        <v>1244</v>
      </c>
      <c r="H14" s="4" t="s">
        <v>72</v>
      </c>
      <c r="I14" s="2" t="str">
        <f t="shared" si="0"/>
        <v>1.4.3</v>
      </c>
      <c r="J14" s="5">
        <f t="shared" si="1"/>
        <v>5.54</v>
      </c>
      <c r="K14" s="5">
        <f t="shared" si="2"/>
        <v>7.13</v>
      </c>
      <c r="L14" s="5">
        <f t="shared" si="3"/>
        <v>4.55</v>
      </c>
      <c r="M14" s="5">
        <f t="shared" si="4"/>
        <v>-0.105</v>
      </c>
      <c r="N14" s="5">
        <f t="shared" si="5"/>
        <v>17.22</v>
      </c>
      <c r="O14" s="2">
        <v>232</v>
      </c>
      <c r="P14" s="4" t="s">
        <v>61</v>
      </c>
      <c r="Q14">
        <v>29.3</v>
      </c>
      <c r="R14">
        <v>36.4</v>
      </c>
      <c r="S14">
        <v>11.9</v>
      </c>
      <c r="T14">
        <v>55.4</v>
      </c>
      <c r="U14">
        <v>71.3</v>
      </c>
      <c r="V14">
        <v>45.5</v>
      </c>
      <c r="W14" t="s">
        <v>35</v>
      </c>
      <c r="X14" t="s">
        <v>34</v>
      </c>
      <c r="Y14" t="s">
        <v>35</v>
      </c>
      <c r="Z14" t="s">
        <v>36</v>
      </c>
      <c r="AA14">
        <v>-10.5</v>
      </c>
      <c r="AB14">
        <v>172.2</v>
      </c>
      <c r="AC14" t="s">
        <v>37</v>
      </c>
    </row>
    <row r="15" spans="1:29" x14ac:dyDescent="0.35">
      <c r="A15" s="2" t="s">
        <v>73</v>
      </c>
      <c r="B15" s="2">
        <v>1</v>
      </c>
      <c r="C15" s="2">
        <v>5</v>
      </c>
      <c r="D15" s="2" t="s">
        <v>74</v>
      </c>
      <c r="E15" s="2">
        <v>1</v>
      </c>
      <c r="F15" s="2" t="s">
        <v>31</v>
      </c>
      <c r="G15" s="2">
        <v>1460</v>
      </c>
      <c r="H15" s="4" t="s">
        <v>75</v>
      </c>
      <c r="I15" s="2" t="str">
        <f t="shared" si="0"/>
        <v>1.5.1</v>
      </c>
      <c r="J15" s="5">
        <f t="shared" si="1"/>
        <v>2.79</v>
      </c>
      <c r="K15" s="5">
        <f t="shared" si="2"/>
        <v>5.62</v>
      </c>
      <c r="L15" s="5">
        <f t="shared" si="3"/>
        <v>3.5200000000000005</v>
      </c>
      <c r="M15" s="5">
        <f t="shared" si="4"/>
        <v>-4.0000000000000001E-3</v>
      </c>
      <c r="N15" s="5">
        <f t="shared" si="5"/>
        <v>11.93</v>
      </c>
      <c r="O15" s="2">
        <v>122</v>
      </c>
      <c r="P15" s="4" t="s">
        <v>53</v>
      </c>
      <c r="Q15">
        <v>2.8</v>
      </c>
      <c r="R15">
        <v>18.8</v>
      </c>
      <c r="S15">
        <v>8.77</v>
      </c>
      <c r="T15">
        <v>27.9</v>
      </c>
      <c r="U15">
        <v>56.2</v>
      </c>
      <c r="V15">
        <v>35.200000000000003</v>
      </c>
      <c r="W15" t="s">
        <v>50</v>
      </c>
      <c r="X15" t="s">
        <v>35</v>
      </c>
      <c r="Y15" t="s">
        <v>35</v>
      </c>
      <c r="Z15" t="s">
        <v>36</v>
      </c>
      <c r="AA15">
        <v>-0.4</v>
      </c>
      <c r="AB15">
        <v>119.3</v>
      </c>
      <c r="AC15" t="s">
        <v>37</v>
      </c>
    </row>
    <row r="16" spans="1:29" x14ac:dyDescent="0.35">
      <c r="A16" s="2" t="s">
        <v>76</v>
      </c>
      <c r="B16" s="2">
        <v>1</v>
      </c>
      <c r="C16" s="2">
        <v>5</v>
      </c>
      <c r="D16" s="2" t="s">
        <v>74</v>
      </c>
      <c r="E16" s="2">
        <v>2</v>
      </c>
      <c r="F16" s="2" t="s">
        <v>31</v>
      </c>
      <c r="G16" s="2">
        <v>1489</v>
      </c>
      <c r="H16" s="4" t="s">
        <v>77</v>
      </c>
      <c r="I16" s="2" t="str">
        <f t="shared" si="0"/>
        <v>1.5.2</v>
      </c>
      <c r="J16" s="5">
        <f t="shared" si="1"/>
        <v>2.56</v>
      </c>
      <c r="K16" s="5">
        <f t="shared" si="2"/>
        <v>6.8400000000000007</v>
      </c>
      <c r="L16" s="5">
        <f t="shared" si="3"/>
        <v>5.07</v>
      </c>
      <c r="M16" s="5">
        <f t="shared" si="4"/>
        <v>-4.5999999999999999E-2</v>
      </c>
      <c r="N16" s="5">
        <f t="shared" si="5"/>
        <v>14.47</v>
      </c>
      <c r="O16" s="2">
        <v>132</v>
      </c>
      <c r="P16" s="4" t="s">
        <v>49</v>
      </c>
      <c r="Q16">
        <v>2</v>
      </c>
      <c r="R16">
        <v>28.2</v>
      </c>
      <c r="S16">
        <v>16.149999999999999</v>
      </c>
      <c r="T16">
        <v>25.6</v>
      </c>
      <c r="U16">
        <v>68.400000000000006</v>
      </c>
      <c r="V16">
        <v>50.7</v>
      </c>
      <c r="W16" t="s">
        <v>50</v>
      </c>
      <c r="X16" t="s">
        <v>34</v>
      </c>
      <c r="Y16" t="s">
        <v>35</v>
      </c>
      <c r="Z16" t="s">
        <v>36</v>
      </c>
      <c r="AA16">
        <v>-4.5999999999999996</v>
      </c>
      <c r="AB16">
        <v>144.69999999999999</v>
      </c>
      <c r="AC16" t="s">
        <v>37</v>
      </c>
    </row>
    <row r="17" spans="1:29" x14ac:dyDescent="0.35">
      <c r="A17" s="2" t="s">
        <v>78</v>
      </c>
      <c r="B17" s="2">
        <v>1</v>
      </c>
      <c r="C17" s="2">
        <v>6</v>
      </c>
      <c r="D17" s="2" t="s">
        <v>79</v>
      </c>
      <c r="E17" s="2">
        <v>1</v>
      </c>
      <c r="F17" s="2" t="s">
        <v>47</v>
      </c>
      <c r="G17" s="2">
        <v>998</v>
      </c>
      <c r="H17" s="4" t="s">
        <v>80</v>
      </c>
      <c r="I17" s="2" t="str">
        <f t="shared" si="0"/>
        <v>1.6.1</v>
      </c>
      <c r="J17" s="5">
        <f t="shared" si="1"/>
        <v>5.25</v>
      </c>
      <c r="K17" s="5">
        <f t="shared" si="2"/>
        <v>6.18</v>
      </c>
      <c r="L17" s="5">
        <f t="shared" si="3"/>
        <v>5.55</v>
      </c>
      <c r="M17" s="5">
        <f t="shared" si="4"/>
        <v>-0.13300000000000001</v>
      </c>
      <c r="N17" s="5">
        <f t="shared" si="5"/>
        <v>16.98</v>
      </c>
      <c r="O17" s="2">
        <v>232</v>
      </c>
      <c r="P17" s="4" t="s">
        <v>61</v>
      </c>
      <c r="Q17">
        <v>28.4</v>
      </c>
      <c r="R17">
        <v>22.4</v>
      </c>
      <c r="S17">
        <v>19.8</v>
      </c>
      <c r="T17">
        <v>52.5</v>
      </c>
      <c r="U17">
        <v>61.8</v>
      </c>
      <c r="V17">
        <v>55.5</v>
      </c>
      <c r="W17" t="s">
        <v>35</v>
      </c>
      <c r="X17" t="s">
        <v>34</v>
      </c>
      <c r="Y17" t="s">
        <v>35</v>
      </c>
      <c r="Z17" t="s">
        <v>36</v>
      </c>
      <c r="AA17">
        <v>-13.3</v>
      </c>
      <c r="AB17">
        <v>169.8</v>
      </c>
      <c r="AC17" t="s">
        <v>37</v>
      </c>
    </row>
    <row r="18" spans="1:29" x14ac:dyDescent="0.35">
      <c r="A18" s="2" t="s">
        <v>81</v>
      </c>
      <c r="B18" s="2">
        <v>1</v>
      </c>
      <c r="C18" s="2">
        <v>6</v>
      </c>
      <c r="D18" s="2" t="s">
        <v>79</v>
      </c>
      <c r="E18" s="2">
        <v>2</v>
      </c>
      <c r="F18" s="2" t="s">
        <v>47</v>
      </c>
      <c r="G18" s="2">
        <v>1222</v>
      </c>
      <c r="H18" s="4" t="s">
        <v>82</v>
      </c>
      <c r="I18" s="2" t="str">
        <f t="shared" si="0"/>
        <v>1.6.2</v>
      </c>
      <c r="J18" s="5">
        <f t="shared" si="1"/>
        <v>6.07</v>
      </c>
      <c r="K18" s="5">
        <f t="shared" si="2"/>
        <v>6.5900000000000007</v>
      </c>
      <c r="L18" s="5">
        <f t="shared" si="3"/>
        <v>6.7900000000000009</v>
      </c>
      <c r="M18" s="5">
        <f t="shared" si="4"/>
        <v>0</v>
      </c>
      <c r="N18" s="5">
        <f t="shared" si="5"/>
        <v>19.450000000000003</v>
      </c>
      <c r="O18" s="2">
        <v>333</v>
      </c>
      <c r="P18" s="4" t="s">
        <v>83</v>
      </c>
      <c r="Q18">
        <v>32.4</v>
      </c>
      <c r="R18">
        <v>26</v>
      </c>
      <c r="S18">
        <v>35</v>
      </c>
      <c r="T18">
        <v>60.7</v>
      </c>
      <c r="U18">
        <v>65.900000000000006</v>
      </c>
      <c r="V18">
        <v>67.900000000000006</v>
      </c>
      <c r="W18" t="s">
        <v>35</v>
      </c>
      <c r="X18" t="s">
        <v>34</v>
      </c>
      <c r="Y18" t="s">
        <v>34</v>
      </c>
      <c r="Z18" t="s">
        <v>36</v>
      </c>
      <c r="AA18">
        <v>0</v>
      </c>
      <c r="AB18">
        <v>194.5</v>
      </c>
      <c r="AC18" t="s">
        <v>37</v>
      </c>
    </row>
    <row r="19" spans="1:29" x14ac:dyDescent="0.35">
      <c r="A19" s="2" t="s">
        <v>84</v>
      </c>
      <c r="B19" s="2">
        <v>1</v>
      </c>
      <c r="C19" s="2">
        <v>6</v>
      </c>
      <c r="D19" s="2" t="s">
        <v>79</v>
      </c>
      <c r="E19" s="2">
        <v>3</v>
      </c>
      <c r="F19" s="2" t="s">
        <v>47</v>
      </c>
      <c r="G19" s="2">
        <v>1003</v>
      </c>
      <c r="H19" s="4" t="s">
        <v>85</v>
      </c>
      <c r="I19" s="2" t="str">
        <f t="shared" si="0"/>
        <v>1.6.3</v>
      </c>
      <c r="J19" s="5">
        <f t="shared" si="1"/>
        <v>5.39</v>
      </c>
      <c r="K19" s="5">
        <f t="shared" si="2"/>
        <v>6.7099999999999991</v>
      </c>
      <c r="L19" s="5">
        <f t="shared" si="3"/>
        <v>5.7799999999999994</v>
      </c>
      <c r="M19" s="5">
        <f t="shared" si="4"/>
        <v>-0.13900000000000001</v>
      </c>
      <c r="N19" s="5">
        <f t="shared" si="5"/>
        <v>17.879999999999995</v>
      </c>
      <c r="O19" s="2">
        <v>232</v>
      </c>
      <c r="P19" s="4" t="s">
        <v>61</v>
      </c>
      <c r="Q19">
        <v>28.6</v>
      </c>
      <c r="R19">
        <v>27</v>
      </c>
      <c r="S19">
        <v>20.8</v>
      </c>
      <c r="T19">
        <v>53.9</v>
      </c>
      <c r="U19">
        <v>67.099999999999994</v>
      </c>
      <c r="V19">
        <v>57.8</v>
      </c>
      <c r="W19" t="s">
        <v>35</v>
      </c>
      <c r="X19" t="s">
        <v>34</v>
      </c>
      <c r="Y19" t="s">
        <v>35</v>
      </c>
      <c r="Z19" t="s">
        <v>36</v>
      </c>
      <c r="AA19">
        <v>-13.9</v>
      </c>
      <c r="AB19">
        <v>178.8</v>
      </c>
      <c r="AC19" t="s">
        <v>37</v>
      </c>
    </row>
    <row r="20" spans="1:29" x14ac:dyDescent="0.35">
      <c r="A20" s="2" t="s">
        <v>86</v>
      </c>
      <c r="B20" s="2">
        <v>1</v>
      </c>
      <c r="C20" s="2">
        <v>7</v>
      </c>
      <c r="D20" s="2" t="s">
        <v>87</v>
      </c>
      <c r="E20" s="2">
        <v>1</v>
      </c>
      <c r="F20" s="2" t="s">
        <v>47</v>
      </c>
      <c r="G20" s="2">
        <v>1223</v>
      </c>
      <c r="H20" s="4" t="s">
        <v>88</v>
      </c>
      <c r="I20" s="2" t="str">
        <f t="shared" si="0"/>
        <v>1.7.1</v>
      </c>
      <c r="J20" s="5">
        <f t="shared" si="1"/>
        <v>4.1399999999999997</v>
      </c>
      <c r="K20" s="5">
        <f t="shared" si="2"/>
        <v>4.87</v>
      </c>
      <c r="L20" s="5">
        <f t="shared" si="3"/>
        <v>5.63</v>
      </c>
      <c r="M20" s="5">
        <f t="shared" si="4"/>
        <v>-5.5999999999999994E-2</v>
      </c>
      <c r="N20" s="5">
        <f t="shared" si="5"/>
        <v>14.64</v>
      </c>
      <c r="O20" s="2">
        <v>222</v>
      </c>
      <c r="P20" s="4" t="s">
        <v>65</v>
      </c>
      <c r="Q20">
        <v>13.6</v>
      </c>
      <c r="R20">
        <v>10</v>
      </c>
      <c r="S20">
        <v>20.6</v>
      </c>
      <c r="T20">
        <v>41.4</v>
      </c>
      <c r="U20">
        <v>48.7</v>
      </c>
      <c r="V20">
        <v>56.3</v>
      </c>
      <c r="W20" t="s">
        <v>35</v>
      </c>
      <c r="X20" t="s">
        <v>35</v>
      </c>
      <c r="Y20" t="s">
        <v>35</v>
      </c>
      <c r="Z20" t="s">
        <v>36</v>
      </c>
      <c r="AA20">
        <v>-5.6</v>
      </c>
      <c r="AB20">
        <v>146.4</v>
      </c>
      <c r="AC20" t="s">
        <v>37</v>
      </c>
    </row>
    <row r="21" spans="1:29" x14ac:dyDescent="0.35">
      <c r="A21" s="2" t="s">
        <v>89</v>
      </c>
      <c r="B21" s="2">
        <v>1</v>
      </c>
      <c r="C21" s="2">
        <v>7</v>
      </c>
      <c r="D21" s="2" t="s">
        <v>87</v>
      </c>
      <c r="E21" s="2">
        <v>2</v>
      </c>
      <c r="F21" s="2" t="s">
        <v>47</v>
      </c>
      <c r="G21" s="2">
        <v>1820</v>
      </c>
      <c r="H21" s="4" t="s">
        <v>90</v>
      </c>
      <c r="I21" s="2" t="str">
        <f t="shared" si="0"/>
        <v>1.7.2</v>
      </c>
      <c r="J21" s="5">
        <f t="shared" si="1"/>
        <v>4.62</v>
      </c>
      <c r="K21" s="5">
        <f t="shared" si="2"/>
        <v>5</v>
      </c>
      <c r="L21" s="5">
        <f t="shared" si="3"/>
        <v>6.0200000000000005</v>
      </c>
      <c r="M21" s="5">
        <f t="shared" si="4"/>
        <v>-0.06</v>
      </c>
      <c r="N21" s="5">
        <f t="shared" si="5"/>
        <v>15.64</v>
      </c>
      <c r="O21" s="2">
        <v>223</v>
      </c>
      <c r="P21" s="4" t="s">
        <v>42</v>
      </c>
      <c r="Q21">
        <v>21.2</v>
      </c>
      <c r="R21">
        <v>11</v>
      </c>
      <c r="S21">
        <v>29.6</v>
      </c>
      <c r="T21">
        <v>46.2</v>
      </c>
      <c r="U21">
        <v>50</v>
      </c>
      <c r="V21">
        <v>60.2</v>
      </c>
      <c r="W21" t="s">
        <v>35</v>
      </c>
      <c r="X21" t="s">
        <v>35</v>
      </c>
      <c r="Y21" t="s">
        <v>35</v>
      </c>
      <c r="Z21" t="s">
        <v>36</v>
      </c>
      <c r="AA21">
        <v>-6</v>
      </c>
      <c r="AB21">
        <v>156.4</v>
      </c>
      <c r="AC21" t="s">
        <v>37</v>
      </c>
    </row>
    <row r="22" spans="1:29" x14ac:dyDescent="0.35">
      <c r="A22" s="2" t="s">
        <v>91</v>
      </c>
      <c r="B22" s="2">
        <v>1</v>
      </c>
      <c r="C22" s="2">
        <v>8</v>
      </c>
      <c r="D22" s="2" t="s">
        <v>92</v>
      </c>
      <c r="E22" s="2">
        <v>1</v>
      </c>
      <c r="F22" s="2" t="s">
        <v>47</v>
      </c>
      <c r="G22" s="2">
        <v>742</v>
      </c>
      <c r="H22" s="4" t="s">
        <v>93</v>
      </c>
      <c r="I22" s="2" t="str">
        <f t="shared" si="0"/>
        <v>1.8.1</v>
      </c>
      <c r="J22" s="5">
        <f t="shared" si="1"/>
        <v>7.7</v>
      </c>
      <c r="K22" s="5">
        <f t="shared" si="2"/>
        <v>4.18</v>
      </c>
      <c r="L22" s="5">
        <f t="shared" si="3"/>
        <v>4.8899999999999997</v>
      </c>
      <c r="M22" s="5">
        <f t="shared" si="4"/>
        <v>-9.8000000000000004E-2</v>
      </c>
      <c r="N22" s="5">
        <f t="shared" si="5"/>
        <v>16.77</v>
      </c>
      <c r="O22" s="2">
        <v>322</v>
      </c>
      <c r="P22" s="4" t="s">
        <v>94</v>
      </c>
      <c r="Q22">
        <v>64.400000000000006</v>
      </c>
      <c r="R22">
        <v>6.8</v>
      </c>
      <c r="S22">
        <v>14.2</v>
      </c>
      <c r="T22">
        <v>77</v>
      </c>
      <c r="U22">
        <v>41.8</v>
      </c>
      <c r="V22">
        <v>48.9</v>
      </c>
      <c r="W22" t="s">
        <v>34</v>
      </c>
      <c r="X22" t="s">
        <v>35</v>
      </c>
      <c r="Y22" t="s">
        <v>35</v>
      </c>
      <c r="Z22" t="s">
        <v>36</v>
      </c>
      <c r="AA22">
        <v>-9.8000000000000007</v>
      </c>
      <c r="AB22">
        <v>167.7</v>
      </c>
      <c r="AC22" t="s">
        <v>37</v>
      </c>
    </row>
    <row r="23" spans="1:29" x14ac:dyDescent="0.35">
      <c r="A23" s="2" t="s">
        <v>95</v>
      </c>
      <c r="B23" s="2">
        <v>1</v>
      </c>
      <c r="C23" s="2">
        <v>8</v>
      </c>
      <c r="D23" s="2" t="s">
        <v>92</v>
      </c>
      <c r="E23" s="2">
        <v>2</v>
      </c>
      <c r="F23" s="2" t="s">
        <v>47</v>
      </c>
      <c r="G23" s="2">
        <v>1297</v>
      </c>
      <c r="H23" s="4" t="s">
        <v>96</v>
      </c>
      <c r="I23" s="2" t="str">
        <f t="shared" si="0"/>
        <v>1.8.2</v>
      </c>
      <c r="J23" s="5">
        <f t="shared" si="1"/>
        <v>5.7</v>
      </c>
      <c r="K23" s="5">
        <f t="shared" si="2"/>
        <v>3.3200000000000003</v>
      </c>
      <c r="L23" s="5">
        <f t="shared" si="3"/>
        <v>4.99</v>
      </c>
      <c r="M23" s="5">
        <f t="shared" si="4"/>
        <v>-0.1</v>
      </c>
      <c r="N23" s="5">
        <f t="shared" si="5"/>
        <v>14.01</v>
      </c>
      <c r="O23" s="2">
        <v>222</v>
      </c>
      <c r="P23" s="4" t="s">
        <v>65</v>
      </c>
      <c r="Q23">
        <v>30.2</v>
      </c>
      <c r="R23">
        <v>3</v>
      </c>
      <c r="S23">
        <v>15.2</v>
      </c>
      <c r="T23">
        <v>57</v>
      </c>
      <c r="U23">
        <v>33.200000000000003</v>
      </c>
      <c r="V23">
        <v>49.9</v>
      </c>
      <c r="W23" t="s">
        <v>35</v>
      </c>
      <c r="X23" t="s">
        <v>35</v>
      </c>
      <c r="Y23" t="s">
        <v>35</v>
      </c>
      <c r="Z23" t="s">
        <v>36</v>
      </c>
      <c r="AA23">
        <v>-10</v>
      </c>
      <c r="AB23">
        <v>140.1</v>
      </c>
      <c r="AC23" t="s">
        <v>37</v>
      </c>
    </row>
    <row r="24" spans="1:29" x14ac:dyDescent="0.35">
      <c r="A24" s="2" t="s">
        <v>97</v>
      </c>
      <c r="B24" s="2">
        <v>1</v>
      </c>
      <c r="C24" s="2">
        <v>9</v>
      </c>
      <c r="D24" s="2" t="s">
        <v>98</v>
      </c>
      <c r="E24" s="2">
        <v>1</v>
      </c>
      <c r="F24" s="2" t="s">
        <v>31</v>
      </c>
      <c r="G24" s="2">
        <v>1678</v>
      </c>
      <c r="H24" s="4" t="s">
        <v>99</v>
      </c>
      <c r="I24" s="2" t="str">
        <f t="shared" si="0"/>
        <v>1.9.1</v>
      </c>
      <c r="J24" s="5">
        <f t="shared" si="1"/>
        <v>6.3</v>
      </c>
      <c r="K24" s="5">
        <f t="shared" si="2"/>
        <v>4.58</v>
      </c>
      <c r="L24" s="5">
        <f t="shared" si="3"/>
        <v>4.68</v>
      </c>
      <c r="M24" s="5">
        <f t="shared" si="4"/>
        <v>-7.0000000000000007E-2</v>
      </c>
      <c r="N24" s="5">
        <f t="shared" si="5"/>
        <v>15.559999999999999</v>
      </c>
      <c r="O24" s="2">
        <v>322</v>
      </c>
      <c r="P24" s="4" t="s">
        <v>94</v>
      </c>
      <c r="Q24">
        <v>34.1</v>
      </c>
      <c r="R24">
        <v>8</v>
      </c>
      <c r="S24">
        <v>12.7</v>
      </c>
      <c r="T24">
        <v>63</v>
      </c>
      <c r="U24">
        <v>45.8</v>
      </c>
      <c r="V24">
        <v>46.8</v>
      </c>
      <c r="W24" t="s">
        <v>34</v>
      </c>
      <c r="X24" t="s">
        <v>35</v>
      </c>
      <c r="Y24" t="s">
        <v>35</v>
      </c>
      <c r="Z24" t="s">
        <v>36</v>
      </c>
      <c r="AA24">
        <v>-7</v>
      </c>
      <c r="AB24">
        <v>155.6</v>
      </c>
      <c r="AC24" t="s">
        <v>37</v>
      </c>
    </row>
    <row r="25" spans="1:29" x14ac:dyDescent="0.35">
      <c r="A25" s="2" t="s">
        <v>100</v>
      </c>
      <c r="B25" s="2">
        <v>1</v>
      </c>
      <c r="C25" s="2">
        <v>9</v>
      </c>
      <c r="D25" s="2" t="s">
        <v>98</v>
      </c>
      <c r="E25" s="2">
        <v>2</v>
      </c>
      <c r="F25" s="2" t="s">
        <v>31</v>
      </c>
      <c r="G25" s="2">
        <v>1162</v>
      </c>
      <c r="H25" s="4" t="s">
        <v>101</v>
      </c>
      <c r="I25" s="2" t="str">
        <f t="shared" si="0"/>
        <v>1.9.2</v>
      </c>
      <c r="J25" s="5">
        <f t="shared" si="1"/>
        <v>4.5</v>
      </c>
      <c r="K25" s="5">
        <f t="shared" si="2"/>
        <v>4.4000000000000004</v>
      </c>
      <c r="L25" s="5">
        <f t="shared" si="3"/>
        <v>4.79</v>
      </c>
      <c r="M25" s="5">
        <f t="shared" si="4"/>
        <v>-7.2000000000000008E-2</v>
      </c>
      <c r="N25" s="5">
        <f t="shared" si="5"/>
        <v>13.690000000000001</v>
      </c>
      <c r="O25" s="2">
        <v>222</v>
      </c>
      <c r="P25" s="4" t="s">
        <v>65</v>
      </c>
      <c r="Q25">
        <v>19.899999999999999</v>
      </c>
      <c r="R25">
        <v>7.8</v>
      </c>
      <c r="S25">
        <v>13.7</v>
      </c>
      <c r="T25">
        <v>45</v>
      </c>
      <c r="U25">
        <v>44</v>
      </c>
      <c r="V25">
        <v>47.9</v>
      </c>
      <c r="W25" t="s">
        <v>35</v>
      </c>
      <c r="X25" t="s">
        <v>35</v>
      </c>
      <c r="Y25" t="s">
        <v>35</v>
      </c>
      <c r="Z25" t="s">
        <v>36</v>
      </c>
      <c r="AA25">
        <v>-7.2</v>
      </c>
      <c r="AB25">
        <v>136.9</v>
      </c>
      <c r="AC25" t="s">
        <v>37</v>
      </c>
    </row>
    <row r="26" spans="1:29" x14ac:dyDescent="0.35">
      <c r="A26" s="2" t="s">
        <v>102</v>
      </c>
      <c r="B26" s="2">
        <v>1</v>
      </c>
      <c r="C26" s="2">
        <v>10</v>
      </c>
      <c r="D26" s="2" t="s">
        <v>103</v>
      </c>
      <c r="E26" s="2">
        <v>1</v>
      </c>
      <c r="F26" s="2" t="s">
        <v>47</v>
      </c>
      <c r="G26" s="2">
        <v>1284</v>
      </c>
      <c r="H26" s="4" t="s">
        <v>104</v>
      </c>
      <c r="I26" s="2" t="str">
        <f t="shared" si="0"/>
        <v>1.10.1</v>
      </c>
      <c r="J26" s="5">
        <f t="shared" si="1"/>
        <v>4.74</v>
      </c>
      <c r="K26" s="5">
        <f t="shared" si="2"/>
        <v>7.8400000000000007</v>
      </c>
      <c r="L26" s="5">
        <f t="shared" si="3"/>
        <v>6.6400000000000006</v>
      </c>
      <c r="M26" s="5">
        <f t="shared" si="4"/>
        <v>-0.43799999999999994</v>
      </c>
      <c r="N26" s="5">
        <f t="shared" si="5"/>
        <v>19.220000000000002</v>
      </c>
      <c r="O26" s="2">
        <v>233</v>
      </c>
      <c r="P26" s="4" t="s">
        <v>105</v>
      </c>
      <c r="Q26">
        <v>21.3</v>
      </c>
      <c r="R26">
        <v>45.2</v>
      </c>
      <c r="S26">
        <v>34.299999999999997</v>
      </c>
      <c r="T26">
        <v>47.4</v>
      </c>
      <c r="U26">
        <v>78.400000000000006</v>
      </c>
      <c r="V26">
        <v>66.400000000000006</v>
      </c>
      <c r="W26" t="s">
        <v>35</v>
      </c>
      <c r="X26" t="s">
        <v>34</v>
      </c>
      <c r="Y26" t="s">
        <v>34</v>
      </c>
      <c r="Z26" t="s">
        <v>106</v>
      </c>
      <c r="AA26">
        <v>-43.8</v>
      </c>
      <c r="AB26">
        <v>192.2</v>
      </c>
      <c r="AC26" t="s">
        <v>37</v>
      </c>
    </row>
    <row r="27" spans="1:29" x14ac:dyDescent="0.35">
      <c r="A27" s="2" t="s">
        <v>107</v>
      </c>
      <c r="B27" s="2">
        <v>1</v>
      </c>
      <c r="C27" s="2">
        <v>10</v>
      </c>
      <c r="D27" s="2" t="s">
        <v>103</v>
      </c>
      <c r="E27" s="2">
        <v>2</v>
      </c>
      <c r="F27" s="2" t="s">
        <v>47</v>
      </c>
      <c r="G27" s="2">
        <v>1129</v>
      </c>
      <c r="H27" s="4" t="s">
        <v>108</v>
      </c>
      <c r="I27" s="2" t="str">
        <f t="shared" si="0"/>
        <v>1.10.2</v>
      </c>
      <c r="J27" s="5">
        <f t="shared" si="1"/>
        <v>4.38</v>
      </c>
      <c r="K27" s="5">
        <f t="shared" si="2"/>
        <v>7.5299999999999994</v>
      </c>
      <c r="L27" s="5">
        <f t="shared" si="3"/>
        <v>5.9399999999999995</v>
      </c>
      <c r="M27" s="5">
        <f t="shared" si="4"/>
        <v>-0.39200000000000002</v>
      </c>
      <c r="N27" s="5">
        <f t="shared" si="5"/>
        <v>17.850000000000001</v>
      </c>
      <c r="O27" s="2">
        <v>232</v>
      </c>
      <c r="P27" s="4" t="s">
        <v>61</v>
      </c>
      <c r="Q27">
        <v>19.7</v>
      </c>
      <c r="R27">
        <v>44.4</v>
      </c>
      <c r="S27">
        <v>24.3</v>
      </c>
      <c r="T27">
        <v>43.8</v>
      </c>
      <c r="U27">
        <v>75.3</v>
      </c>
      <c r="V27">
        <v>59.4</v>
      </c>
      <c r="W27" t="s">
        <v>35</v>
      </c>
      <c r="X27" t="s">
        <v>34</v>
      </c>
      <c r="Y27" t="s">
        <v>35</v>
      </c>
      <c r="Z27" t="s">
        <v>106</v>
      </c>
      <c r="AA27">
        <v>-39.200000000000003</v>
      </c>
      <c r="AB27">
        <v>178.5</v>
      </c>
      <c r="AC27" t="s">
        <v>37</v>
      </c>
    </row>
    <row r="28" spans="1:29" x14ac:dyDescent="0.35">
      <c r="A28" s="2" t="s">
        <v>109</v>
      </c>
      <c r="B28" s="2">
        <v>1</v>
      </c>
      <c r="C28" s="2">
        <v>10</v>
      </c>
      <c r="D28" s="2" t="s">
        <v>103</v>
      </c>
      <c r="E28" s="2">
        <v>3</v>
      </c>
      <c r="F28" s="2" t="s">
        <v>47</v>
      </c>
      <c r="G28" s="2">
        <v>1195</v>
      </c>
      <c r="H28" s="4" t="s">
        <v>110</v>
      </c>
      <c r="I28" s="2" t="str">
        <f t="shared" si="0"/>
        <v>1.10.3</v>
      </c>
      <c r="J28" s="5">
        <f t="shared" si="1"/>
        <v>5.88</v>
      </c>
      <c r="K28" s="5">
        <f t="shared" si="2"/>
        <v>8.41</v>
      </c>
      <c r="L28" s="5">
        <f t="shared" si="3"/>
        <v>6.11</v>
      </c>
      <c r="M28" s="5">
        <f t="shared" si="4"/>
        <v>-0.46399999999999997</v>
      </c>
      <c r="N28" s="5">
        <f t="shared" si="5"/>
        <v>20.399999999999999</v>
      </c>
      <c r="O28" s="2">
        <v>233</v>
      </c>
      <c r="P28" s="4" t="s">
        <v>105</v>
      </c>
      <c r="Q28">
        <v>31.5</v>
      </c>
      <c r="R28">
        <v>54.6</v>
      </c>
      <c r="S28">
        <v>31.3</v>
      </c>
      <c r="T28">
        <v>58.8</v>
      </c>
      <c r="U28">
        <v>84.1</v>
      </c>
      <c r="V28">
        <v>61.1</v>
      </c>
      <c r="W28" t="s">
        <v>35</v>
      </c>
      <c r="X28" t="s">
        <v>34</v>
      </c>
      <c r="Y28" t="s">
        <v>34</v>
      </c>
      <c r="Z28" t="s">
        <v>106</v>
      </c>
      <c r="AA28">
        <v>-46.4</v>
      </c>
      <c r="AB28">
        <v>204</v>
      </c>
      <c r="AC28" t="s">
        <v>37</v>
      </c>
    </row>
    <row r="29" spans="1:29" x14ac:dyDescent="0.35">
      <c r="A29" s="2" t="s">
        <v>111</v>
      </c>
      <c r="B29" s="2">
        <v>1</v>
      </c>
      <c r="C29" s="2">
        <v>11</v>
      </c>
      <c r="D29" s="2" t="s">
        <v>112</v>
      </c>
      <c r="E29" s="2">
        <v>1</v>
      </c>
      <c r="F29" s="2" t="s">
        <v>31</v>
      </c>
      <c r="G29" s="2">
        <v>1438</v>
      </c>
      <c r="H29" s="4" t="s">
        <v>113</v>
      </c>
      <c r="I29" s="2" t="str">
        <f t="shared" si="0"/>
        <v>1.11.1</v>
      </c>
      <c r="J29" s="5">
        <f t="shared" si="1"/>
        <v>3.3299999999999996</v>
      </c>
      <c r="K29" s="5">
        <f t="shared" si="2"/>
        <v>5.5299999999999994</v>
      </c>
      <c r="L29" s="5">
        <f t="shared" si="3"/>
        <v>6.29</v>
      </c>
      <c r="M29" s="5">
        <f t="shared" si="4"/>
        <v>-0.17600000000000002</v>
      </c>
      <c r="N29" s="5">
        <f t="shared" si="5"/>
        <v>15.149999999999999</v>
      </c>
      <c r="O29" s="2">
        <v>223</v>
      </c>
      <c r="P29" s="4" t="s">
        <v>42</v>
      </c>
      <c r="Q29">
        <v>7.1</v>
      </c>
      <c r="R29">
        <v>16.600000000000001</v>
      </c>
      <c r="S29">
        <v>31.4</v>
      </c>
      <c r="T29">
        <v>33.299999999999997</v>
      </c>
      <c r="U29">
        <v>55.3</v>
      </c>
      <c r="V29">
        <v>62.9</v>
      </c>
      <c r="W29" t="s">
        <v>35</v>
      </c>
      <c r="X29" t="s">
        <v>35</v>
      </c>
      <c r="Y29" t="s">
        <v>34</v>
      </c>
      <c r="Z29" t="s">
        <v>62</v>
      </c>
      <c r="AA29">
        <v>-17.600000000000001</v>
      </c>
      <c r="AB29">
        <v>151.5</v>
      </c>
      <c r="AC29" t="s">
        <v>37</v>
      </c>
    </row>
    <row r="30" spans="1:29" x14ac:dyDescent="0.35">
      <c r="A30" s="2" t="s">
        <v>114</v>
      </c>
      <c r="B30" s="2">
        <v>1</v>
      </c>
      <c r="C30" s="2">
        <v>11</v>
      </c>
      <c r="D30" s="2" t="s">
        <v>112</v>
      </c>
      <c r="E30" s="2">
        <v>2</v>
      </c>
      <c r="F30" s="2" t="s">
        <v>31</v>
      </c>
      <c r="G30" s="2">
        <v>784</v>
      </c>
      <c r="H30" s="4" t="s">
        <v>115</v>
      </c>
      <c r="I30" s="2" t="str">
        <f t="shared" si="0"/>
        <v>1.11.2</v>
      </c>
      <c r="J30" s="5">
        <f t="shared" si="1"/>
        <v>3.4799999999999995</v>
      </c>
      <c r="K30" s="5">
        <f t="shared" si="2"/>
        <v>5.99</v>
      </c>
      <c r="L30" s="5">
        <f t="shared" si="3"/>
        <v>6.2</v>
      </c>
      <c r="M30" s="5">
        <f t="shared" si="4"/>
        <v>-0.17399999999999999</v>
      </c>
      <c r="N30" s="5">
        <f t="shared" si="5"/>
        <v>15.669999999999998</v>
      </c>
      <c r="O30" s="2">
        <v>223</v>
      </c>
      <c r="P30" s="4" t="s">
        <v>42</v>
      </c>
      <c r="Q30">
        <v>8.1</v>
      </c>
      <c r="R30">
        <v>20.2</v>
      </c>
      <c r="S30">
        <v>31.4</v>
      </c>
      <c r="T30">
        <v>34.799999999999997</v>
      </c>
      <c r="U30">
        <v>59.9</v>
      </c>
      <c r="V30">
        <v>62</v>
      </c>
      <c r="W30" t="s">
        <v>35</v>
      </c>
      <c r="X30" t="s">
        <v>35</v>
      </c>
      <c r="Y30" t="s">
        <v>34</v>
      </c>
      <c r="Z30" t="s">
        <v>62</v>
      </c>
      <c r="AA30">
        <v>-17.399999999999999</v>
      </c>
      <c r="AB30">
        <v>156.69999999999999</v>
      </c>
      <c r="AC30" t="s">
        <v>37</v>
      </c>
    </row>
    <row r="31" spans="1:29" x14ac:dyDescent="0.35">
      <c r="A31" s="2" t="s">
        <v>116</v>
      </c>
      <c r="B31" s="2">
        <v>1</v>
      </c>
      <c r="C31" s="2">
        <v>11</v>
      </c>
      <c r="D31" s="2" t="s">
        <v>112</v>
      </c>
      <c r="E31" s="2">
        <v>3</v>
      </c>
      <c r="F31" s="2" t="s">
        <v>31</v>
      </c>
      <c r="G31" s="2">
        <v>204</v>
      </c>
      <c r="H31" s="4" t="s">
        <v>117</v>
      </c>
      <c r="I31" s="2" t="str">
        <f t="shared" si="0"/>
        <v>1.11.3</v>
      </c>
      <c r="J31" s="5">
        <f t="shared" si="1"/>
        <v>3.8899999999999997</v>
      </c>
      <c r="K31" s="5">
        <f t="shared" si="2"/>
        <v>6.4799999999999995</v>
      </c>
      <c r="L31" s="5">
        <f t="shared" si="3"/>
        <v>6.4</v>
      </c>
      <c r="M31" s="5">
        <f t="shared" si="4"/>
        <v>-0.17899999999999999</v>
      </c>
      <c r="N31" s="5">
        <f t="shared" si="5"/>
        <v>16.77</v>
      </c>
      <c r="O31" s="2">
        <v>233</v>
      </c>
      <c r="P31" s="4" t="s">
        <v>105</v>
      </c>
      <c r="Q31">
        <v>10.1</v>
      </c>
      <c r="R31">
        <v>24.8</v>
      </c>
      <c r="S31">
        <v>32.4</v>
      </c>
      <c r="T31">
        <v>38.9</v>
      </c>
      <c r="U31">
        <v>64.8</v>
      </c>
      <c r="V31">
        <v>64</v>
      </c>
      <c r="W31" t="s">
        <v>35</v>
      </c>
      <c r="X31" t="s">
        <v>34</v>
      </c>
      <c r="Y31" t="s">
        <v>34</v>
      </c>
      <c r="Z31" t="s">
        <v>62</v>
      </c>
      <c r="AA31">
        <v>-17.899999999999999</v>
      </c>
      <c r="AB31">
        <v>167.7</v>
      </c>
      <c r="AC31" t="s">
        <v>37</v>
      </c>
    </row>
    <row r="32" spans="1:29" x14ac:dyDescent="0.35">
      <c r="A32" s="2" t="s">
        <v>118</v>
      </c>
      <c r="B32" s="2">
        <v>1</v>
      </c>
      <c r="C32" s="2">
        <v>12</v>
      </c>
      <c r="D32" s="2" t="s">
        <v>119</v>
      </c>
      <c r="E32" s="2">
        <v>1</v>
      </c>
      <c r="F32" s="2" t="s">
        <v>47</v>
      </c>
      <c r="G32" s="2">
        <v>796</v>
      </c>
      <c r="H32" s="4" t="s">
        <v>120</v>
      </c>
      <c r="I32" s="2" t="str">
        <f t="shared" si="0"/>
        <v>1.12.1</v>
      </c>
      <c r="J32" s="5">
        <f t="shared" si="1"/>
        <v>4.01</v>
      </c>
      <c r="K32" s="5">
        <f t="shared" si="2"/>
        <v>6.38</v>
      </c>
      <c r="L32" s="5">
        <f t="shared" si="3"/>
        <v>5.86</v>
      </c>
      <c r="M32" s="5">
        <f t="shared" si="4"/>
        <v>-0.17600000000000002</v>
      </c>
      <c r="N32" s="5">
        <f t="shared" si="5"/>
        <v>16.25</v>
      </c>
      <c r="O32" s="2">
        <v>232</v>
      </c>
      <c r="P32" s="4" t="s">
        <v>61</v>
      </c>
      <c r="Q32">
        <v>13</v>
      </c>
      <c r="R32">
        <v>23.4</v>
      </c>
      <c r="S32">
        <v>23.5</v>
      </c>
      <c r="T32">
        <v>40.1</v>
      </c>
      <c r="U32">
        <v>63.8</v>
      </c>
      <c r="V32">
        <v>58.6</v>
      </c>
      <c r="W32" t="s">
        <v>35</v>
      </c>
      <c r="X32" t="s">
        <v>34</v>
      </c>
      <c r="Y32" t="s">
        <v>35</v>
      </c>
      <c r="Z32" t="s">
        <v>62</v>
      </c>
      <c r="AA32">
        <v>-17.600000000000001</v>
      </c>
      <c r="AB32">
        <v>162.5</v>
      </c>
      <c r="AC32" t="s">
        <v>37</v>
      </c>
    </row>
    <row r="33" spans="1:29" x14ac:dyDescent="0.35">
      <c r="A33" s="2" t="s">
        <v>121</v>
      </c>
      <c r="B33" s="2">
        <v>1</v>
      </c>
      <c r="C33" s="2">
        <v>12</v>
      </c>
      <c r="D33" s="2" t="s">
        <v>119</v>
      </c>
      <c r="E33" s="2">
        <v>2</v>
      </c>
      <c r="F33" s="2" t="s">
        <v>47</v>
      </c>
      <c r="G33" s="2">
        <v>940</v>
      </c>
      <c r="H33" s="4" t="s">
        <v>122</v>
      </c>
      <c r="I33" s="2" t="str">
        <f t="shared" si="0"/>
        <v>1.12.2</v>
      </c>
      <c r="J33" s="5">
        <f t="shared" si="1"/>
        <v>3.62</v>
      </c>
      <c r="K33" s="5">
        <f t="shared" si="2"/>
        <v>3.88</v>
      </c>
      <c r="L33" s="5">
        <f t="shared" si="3"/>
        <v>5.32</v>
      </c>
      <c r="M33" s="5">
        <f t="shared" si="4"/>
        <v>-0.09</v>
      </c>
      <c r="N33" s="5">
        <f t="shared" si="5"/>
        <v>12.82</v>
      </c>
      <c r="O33" s="2">
        <v>222</v>
      </c>
      <c r="P33" s="4" t="s">
        <v>65</v>
      </c>
      <c r="Q33">
        <v>8.6999999999999993</v>
      </c>
      <c r="R33">
        <v>5.8</v>
      </c>
      <c r="S33">
        <v>19.2</v>
      </c>
      <c r="T33">
        <v>36.200000000000003</v>
      </c>
      <c r="U33">
        <v>38.799999999999997</v>
      </c>
      <c r="V33">
        <v>53.2</v>
      </c>
      <c r="W33" t="s">
        <v>35</v>
      </c>
      <c r="X33" t="s">
        <v>35</v>
      </c>
      <c r="Y33" t="s">
        <v>35</v>
      </c>
      <c r="Z33" t="s">
        <v>36</v>
      </c>
      <c r="AA33">
        <v>-9</v>
      </c>
      <c r="AB33">
        <v>128.19999999999999</v>
      </c>
      <c r="AC33" t="s">
        <v>37</v>
      </c>
    </row>
    <row r="34" spans="1:29" x14ac:dyDescent="0.35">
      <c r="A34" s="2" t="s">
        <v>123</v>
      </c>
      <c r="B34" s="2">
        <v>2</v>
      </c>
      <c r="C34" s="2">
        <v>13</v>
      </c>
      <c r="D34" s="2" t="s">
        <v>124</v>
      </c>
      <c r="E34" s="2">
        <v>1</v>
      </c>
      <c r="F34" s="2" t="s">
        <v>31</v>
      </c>
      <c r="G34" s="2">
        <v>1893</v>
      </c>
      <c r="H34" s="4" t="s">
        <v>125</v>
      </c>
      <c r="I34" s="2" t="str">
        <f t="shared" ref="I34:I65" si="6">B34&amp;"."&amp;C34&amp;"."&amp;E34</f>
        <v>2.13.1</v>
      </c>
      <c r="J34" s="5">
        <f t="shared" si="1"/>
        <v>5.32</v>
      </c>
      <c r="K34" s="5">
        <f t="shared" si="2"/>
        <v>6.5</v>
      </c>
      <c r="L34" s="5">
        <f t="shared" si="3"/>
        <v>6.63</v>
      </c>
      <c r="M34" s="5">
        <f t="shared" si="4"/>
        <v>-0.55000000000000004</v>
      </c>
      <c r="N34" s="5">
        <f t="shared" si="5"/>
        <v>18.45</v>
      </c>
      <c r="O34" s="2">
        <v>233</v>
      </c>
      <c r="P34" s="4" t="s">
        <v>105</v>
      </c>
      <c r="Q34">
        <v>24</v>
      </c>
      <c r="R34">
        <v>22</v>
      </c>
      <c r="S34">
        <v>22</v>
      </c>
      <c r="T34">
        <v>53.2</v>
      </c>
      <c r="U34">
        <v>65</v>
      </c>
      <c r="V34">
        <v>66.3</v>
      </c>
      <c r="W34" t="s">
        <v>35</v>
      </c>
      <c r="X34" t="s">
        <v>34</v>
      </c>
      <c r="Y34" t="s">
        <v>34</v>
      </c>
      <c r="Z34" t="s">
        <v>106</v>
      </c>
      <c r="AA34">
        <v>-55</v>
      </c>
      <c r="AB34">
        <v>184.5</v>
      </c>
      <c r="AC34" t="s">
        <v>126</v>
      </c>
    </row>
    <row r="35" spans="1:29" x14ac:dyDescent="0.35">
      <c r="A35" s="2" t="s">
        <v>127</v>
      </c>
      <c r="B35" s="2">
        <v>2</v>
      </c>
      <c r="C35" s="2">
        <v>13</v>
      </c>
      <c r="D35" s="2" t="s">
        <v>124</v>
      </c>
      <c r="E35" s="2">
        <v>2</v>
      </c>
      <c r="F35" s="2" t="s">
        <v>47</v>
      </c>
      <c r="G35" s="2">
        <v>1337</v>
      </c>
      <c r="H35" s="4" t="s">
        <v>128</v>
      </c>
      <c r="I35" s="2" t="str">
        <f t="shared" si="6"/>
        <v>2.13.2</v>
      </c>
      <c r="J35" s="5">
        <f t="shared" si="1"/>
        <v>5.08</v>
      </c>
      <c r="K35" s="5">
        <f t="shared" si="2"/>
        <v>7.25</v>
      </c>
      <c r="L35" s="5">
        <f t="shared" si="3"/>
        <v>6.2299999999999995</v>
      </c>
      <c r="M35" s="5">
        <f t="shared" si="4"/>
        <v>-0.54799999999999993</v>
      </c>
      <c r="N35" s="5">
        <f t="shared" si="5"/>
        <v>18.559999999999999</v>
      </c>
      <c r="O35" s="2">
        <v>233</v>
      </c>
      <c r="P35" s="4" t="s">
        <v>105</v>
      </c>
      <c r="Q35">
        <v>21</v>
      </c>
      <c r="R35">
        <v>30</v>
      </c>
      <c r="S35">
        <v>19</v>
      </c>
      <c r="T35">
        <v>50.8</v>
      </c>
      <c r="U35">
        <v>72.5</v>
      </c>
      <c r="V35">
        <v>62.3</v>
      </c>
      <c r="W35" t="s">
        <v>35</v>
      </c>
      <c r="X35" t="s">
        <v>34</v>
      </c>
      <c r="Y35" t="s">
        <v>34</v>
      </c>
      <c r="Z35" t="s">
        <v>106</v>
      </c>
      <c r="AA35">
        <v>-54.8</v>
      </c>
      <c r="AB35">
        <v>185.6</v>
      </c>
      <c r="AC35" t="s">
        <v>126</v>
      </c>
    </row>
    <row r="36" spans="1:29" x14ac:dyDescent="0.35">
      <c r="A36" s="2" t="s">
        <v>129</v>
      </c>
      <c r="B36" s="2">
        <v>2</v>
      </c>
      <c r="C36" s="2">
        <v>14</v>
      </c>
      <c r="D36" s="2" t="s">
        <v>130</v>
      </c>
      <c r="E36" s="2">
        <v>1</v>
      </c>
      <c r="F36" s="2" t="s">
        <v>31</v>
      </c>
      <c r="G36" s="2">
        <v>1174</v>
      </c>
      <c r="H36" s="4" t="s">
        <v>131</v>
      </c>
      <c r="I36" s="2" t="str">
        <f t="shared" si="6"/>
        <v>2.14.1</v>
      </c>
      <c r="J36" s="5">
        <f t="shared" si="1"/>
        <v>2.87</v>
      </c>
      <c r="K36" s="5">
        <f t="shared" si="2"/>
        <v>5.55</v>
      </c>
      <c r="L36" s="5">
        <f t="shared" si="3"/>
        <v>5.3100000000000005</v>
      </c>
      <c r="M36" s="5">
        <f t="shared" si="4"/>
        <v>-0.31900000000000001</v>
      </c>
      <c r="N36" s="5">
        <f t="shared" si="5"/>
        <v>13.73</v>
      </c>
      <c r="O36" s="2">
        <v>122</v>
      </c>
      <c r="P36" s="4" t="s">
        <v>53</v>
      </c>
      <c r="Q36">
        <v>9</v>
      </c>
      <c r="R36">
        <v>16</v>
      </c>
      <c r="S36">
        <v>12</v>
      </c>
      <c r="T36">
        <v>28.7</v>
      </c>
      <c r="U36">
        <v>55.5</v>
      </c>
      <c r="V36">
        <v>53.1</v>
      </c>
      <c r="W36" t="s">
        <v>50</v>
      </c>
      <c r="X36" t="s">
        <v>35</v>
      </c>
      <c r="Y36" t="s">
        <v>35</v>
      </c>
      <c r="Z36" t="s">
        <v>62</v>
      </c>
      <c r="AA36">
        <v>-31.9</v>
      </c>
      <c r="AB36">
        <v>137.30000000000001</v>
      </c>
      <c r="AC36" t="s">
        <v>126</v>
      </c>
    </row>
    <row r="37" spans="1:29" x14ac:dyDescent="0.35">
      <c r="A37" s="2" t="s">
        <v>132</v>
      </c>
      <c r="B37" s="2">
        <v>2</v>
      </c>
      <c r="C37" s="2">
        <v>14</v>
      </c>
      <c r="D37" s="2" t="s">
        <v>130</v>
      </c>
      <c r="E37" s="2">
        <v>2</v>
      </c>
      <c r="F37" s="2" t="s">
        <v>47</v>
      </c>
      <c r="G37" s="2">
        <v>1641</v>
      </c>
      <c r="H37" s="4" t="s">
        <v>133</v>
      </c>
      <c r="I37" s="2" t="str">
        <f t="shared" si="6"/>
        <v>2.14.2</v>
      </c>
      <c r="J37" s="5">
        <f t="shared" si="1"/>
        <v>5.43</v>
      </c>
      <c r="K37" s="5">
        <f t="shared" si="2"/>
        <v>6.05</v>
      </c>
      <c r="L37" s="5">
        <f t="shared" si="3"/>
        <v>4.9700000000000006</v>
      </c>
      <c r="M37" s="5">
        <f t="shared" si="4"/>
        <v>-0.35799999999999998</v>
      </c>
      <c r="N37" s="5">
        <f t="shared" si="5"/>
        <v>16.450000000000003</v>
      </c>
      <c r="O37" s="2">
        <v>232</v>
      </c>
      <c r="P37" s="4" t="s">
        <v>61</v>
      </c>
      <c r="Q37">
        <v>29.5</v>
      </c>
      <c r="R37">
        <v>19</v>
      </c>
      <c r="S37">
        <v>10</v>
      </c>
      <c r="T37">
        <v>54.3</v>
      </c>
      <c r="U37">
        <v>60.5</v>
      </c>
      <c r="V37">
        <v>49.7</v>
      </c>
      <c r="W37" t="s">
        <v>35</v>
      </c>
      <c r="X37" t="s">
        <v>34</v>
      </c>
      <c r="Y37" t="s">
        <v>35</v>
      </c>
      <c r="Z37" t="s">
        <v>106</v>
      </c>
      <c r="AA37">
        <v>-35.799999999999997</v>
      </c>
      <c r="AB37">
        <v>164.5</v>
      </c>
      <c r="AC37" t="s">
        <v>126</v>
      </c>
    </row>
    <row r="38" spans="1:29" x14ac:dyDescent="0.35">
      <c r="A38" s="2" t="s">
        <v>134</v>
      </c>
      <c r="B38" s="2">
        <v>2</v>
      </c>
      <c r="C38" s="2">
        <v>14</v>
      </c>
      <c r="D38" s="2" t="s">
        <v>130</v>
      </c>
      <c r="E38" s="2">
        <v>3</v>
      </c>
      <c r="F38" s="2" t="s">
        <v>47</v>
      </c>
      <c r="G38" s="2">
        <v>1196</v>
      </c>
      <c r="H38" s="4" t="s">
        <v>135</v>
      </c>
      <c r="I38" s="2" t="str">
        <f t="shared" si="6"/>
        <v>2.14.3</v>
      </c>
      <c r="J38" s="5">
        <f t="shared" si="1"/>
        <v>4.34</v>
      </c>
      <c r="K38" s="5">
        <f t="shared" si="2"/>
        <v>4.8100000000000005</v>
      </c>
      <c r="L38" s="5">
        <f t="shared" si="3"/>
        <v>6.2299999999999995</v>
      </c>
      <c r="M38" s="5">
        <f t="shared" si="4"/>
        <v>-0.374</v>
      </c>
      <c r="N38" s="5">
        <f t="shared" si="5"/>
        <v>15.379999999999999</v>
      </c>
      <c r="O38" s="2">
        <v>223</v>
      </c>
      <c r="P38" s="4" t="s">
        <v>42</v>
      </c>
      <c r="Q38">
        <v>15</v>
      </c>
      <c r="R38">
        <v>14</v>
      </c>
      <c r="S38">
        <v>19</v>
      </c>
      <c r="T38">
        <v>43.4</v>
      </c>
      <c r="U38">
        <v>48.1</v>
      </c>
      <c r="V38">
        <v>62.3</v>
      </c>
      <c r="W38" t="s">
        <v>35</v>
      </c>
      <c r="X38" t="s">
        <v>35</v>
      </c>
      <c r="Y38" t="s">
        <v>34</v>
      </c>
      <c r="Z38" t="s">
        <v>62</v>
      </c>
      <c r="AA38">
        <v>-37.4</v>
      </c>
      <c r="AB38">
        <v>153.80000000000001</v>
      </c>
      <c r="AC38" t="s">
        <v>126</v>
      </c>
    </row>
    <row r="39" spans="1:29" x14ac:dyDescent="0.35">
      <c r="A39" s="2" t="s">
        <v>136</v>
      </c>
      <c r="B39" s="2">
        <v>2</v>
      </c>
      <c r="C39" s="2">
        <v>15</v>
      </c>
      <c r="D39" s="2" t="s">
        <v>137</v>
      </c>
      <c r="E39" s="2">
        <v>1</v>
      </c>
      <c r="F39" s="2" t="s">
        <v>31</v>
      </c>
      <c r="G39" s="2">
        <v>892</v>
      </c>
      <c r="H39" s="4" t="s">
        <v>138</v>
      </c>
      <c r="I39" s="2" t="str">
        <f t="shared" si="6"/>
        <v>2.15.1</v>
      </c>
      <c r="J39" s="5">
        <f t="shared" si="1"/>
        <v>4.4799999999999995</v>
      </c>
      <c r="K39" s="5">
        <f t="shared" si="2"/>
        <v>3.8600000000000003</v>
      </c>
      <c r="L39" s="5">
        <f t="shared" si="3"/>
        <v>5.7200000000000006</v>
      </c>
      <c r="M39" s="5">
        <f t="shared" si="4"/>
        <v>-0.217</v>
      </c>
      <c r="N39" s="5">
        <f t="shared" si="5"/>
        <v>14.06</v>
      </c>
      <c r="O39" s="2">
        <v>222</v>
      </c>
      <c r="P39" s="4" t="s">
        <v>65</v>
      </c>
      <c r="Q39">
        <v>16</v>
      </c>
      <c r="R39">
        <v>12</v>
      </c>
      <c r="S39">
        <v>15</v>
      </c>
      <c r="T39">
        <v>44.8</v>
      </c>
      <c r="U39">
        <v>38.6</v>
      </c>
      <c r="V39">
        <v>57.2</v>
      </c>
      <c r="W39" t="s">
        <v>35</v>
      </c>
      <c r="X39" t="s">
        <v>35</v>
      </c>
      <c r="Y39" t="s">
        <v>35</v>
      </c>
      <c r="Z39" t="s">
        <v>62</v>
      </c>
      <c r="AA39">
        <v>-21.7</v>
      </c>
      <c r="AB39">
        <v>140.6</v>
      </c>
      <c r="AC39" t="s">
        <v>126</v>
      </c>
    </row>
    <row r="40" spans="1:29" x14ac:dyDescent="0.35">
      <c r="A40" s="2" t="s">
        <v>139</v>
      </c>
      <c r="B40" s="2">
        <v>2</v>
      </c>
      <c r="C40" s="2">
        <v>15</v>
      </c>
      <c r="D40" s="2" t="s">
        <v>137</v>
      </c>
      <c r="E40" s="2">
        <v>2</v>
      </c>
      <c r="F40" s="2" t="s">
        <v>47</v>
      </c>
      <c r="G40" s="2">
        <v>1884</v>
      </c>
      <c r="H40" s="4" t="s">
        <v>140</v>
      </c>
      <c r="I40" s="2" t="str">
        <f t="shared" si="6"/>
        <v>2.15.2</v>
      </c>
      <c r="J40" s="5">
        <f t="shared" si="1"/>
        <v>4.57</v>
      </c>
      <c r="K40" s="5">
        <f t="shared" si="2"/>
        <v>6.5</v>
      </c>
      <c r="L40" s="5">
        <f t="shared" si="3"/>
        <v>6.2299999999999995</v>
      </c>
      <c r="M40" s="5">
        <f t="shared" si="4"/>
        <v>-0.13699999999999998</v>
      </c>
      <c r="N40" s="5">
        <f t="shared" si="5"/>
        <v>17.3</v>
      </c>
      <c r="O40" s="2">
        <v>233</v>
      </c>
      <c r="P40" s="4" t="s">
        <v>105</v>
      </c>
      <c r="Q40">
        <v>17.5</v>
      </c>
      <c r="R40">
        <v>22</v>
      </c>
      <c r="S40">
        <v>19</v>
      </c>
      <c r="T40">
        <v>45.7</v>
      </c>
      <c r="U40">
        <v>65</v>
      </c>
      <c r="V40">
        <v>62.3</v>
      </c>
      <c r="W40" t="s">
        <v>35</v>
      </c>
      <c r="X40" t="s">
        <v>34</v>
      </c>
      <c r="Y40" t="s">
        <v>34</v>
      </c>
      <c r="Z40" t="s">
        <v>36</v>
      </c>
      <c r="AA40">
        <v>-13.7</v>
      </c>
      <c r="AB40">
        <v>173</v>
      </c>
      <c r="AC40" t="s">
        <v>126</v>
      </c>
    </row>
    <row r="41" spans="1:29" x14ac:dyDescent="0.35">
      <c r="A41" s="2" t="s">
        <v>141</v>
      </c>
      <c r="B41" s="2">
        <v>2</v>
      </c>
      <c r="C41" s="2">
        <v>15</v>
      </c>
      <c r="D41" s="2" t="s">
        <v>137</v>
      </c>
      <c r="E41" s="2">
        <v>3</v>
      </c>
      <c r="F41" s="2" t="s">
        <v>47</v>
      </c>
      <c r="G41" s="2">
        <v>1247</v>
      </c>
      <c r="H41" s="4" t="s">
        <v>142</v>
      </c>
      <c r="I41" s="2" t="str">
        <f t="shared" si="6"/>
        <v>2.15.3</v>
      </c>
      <c r="J41" s="5">
        <f t="shared" si="1"/>
        <v>4.34</v>
      </c>
      <c r="K41" s="5">
        <f t="shared" si="2"/>
        <v>5.76</v>
      </c>
      <c r="L41" s="5">
        <f t="shared" si="3"/>
        <v>5.7200000000000006</v>
      </c>
      <c r="M41" s="5">
        <f t="shared" si="4"/>
        <v>-0.17199999999999999</v>
      </c>
      <c r="N41" s="5">
        <f t="shared" si="5"/>
        <v>15.82</v>
      </c>
      <c r="O41" s="2">
        <v>222</v>
      </c>
      <c r="P41" s="4" t="s">
        <v>65</v>
      </c>
      <c r="Q41">
        <v>15</v>
      </c>
      <c r="R41">
        <v>17</v>
      </c>
      <c r="S41">
        <v>15</v>
      </c>
      <c r="T41">
        <v>43.4</v>
      </c>
      <c r="U41">
        <v>57.6</v>
      </c>
      <c r="V41">
        <v>57.2</v>
      </c>
      <c r="W41" t="s">
        <v>35</v>
      </c>
      <c r="X41" t="s">
        <v>35</v>
      </c>
      <c r="Y41" t="s">
        <v>35</v>
      </c>
      <c r="Z41" t="s">
        <v>62</v>
      </c>
      <c r="AA41">
        <v>-17.2</v>
      </c>
      <c r="AB41">
        <v>158.19999999999999</v>
      </c>
      <c r="AC41" t="s">
        <v>126</v>
      </c>
    </row>
    <row r="42" spans="1:29" x14ac:dyDescent="0.35">
      <c r="A42" s="2" t="s">
        <v>143</v>
      </c>
      <c r="B42" s="2">
        <v>2</v>
      </c>
      <c r="C42" s="2">
        <v>16</v>
      </c>
      <c r="D42" s="2" t="s">
        <v>144</v>
      </c>
      <c r="E42" s="2">
        <v>1</v>
      </c>
      <c r="F42" s="2" t="s">
        <v>31</v>
      </c>
      <c r="G42" s="2">
        <v>1469</v>
      </c>
      <c r="H42" s="4" t="s">
        <v>145</v>
      </c>
      <c r="I42" s="2" t="str">
        <f t="shared" si="6"/>
        <v>2.16.1</v>
      </c>
      <c r="J42" s="5">
        <f t="shared" si="1"/>
        <v>1.51</v>
      </c>
      <c r="K42" s="5">
        <f t="shared" si="2"/>
        <v>5.2200000000000006</v>
      </c>
      <c r="L42" s="5">
        <f t="shared" si="3"/>
        <v>4.18</v>
      </c>
      <c r="M42" s="5">
        <f t="shared" si="4"/>
        <v>-0.16699999999999998</v>
      </c>
      <c r="N42" s="5">
        <f t="shared" si="5"/>
        <v>10.91</v>
      </c>
      <c r="O42" s="2">
        <v>122</v>
      </c>
      <c r="P42" s="4" t="s">
        <v>53</v>
      </c>
      <c r="Q42">
        <v>6</v>
      </c>
      <c r="R42">
        <v>15</v>
      </c>
      <c r="S42">
        <v>6</v>
      </c>
      <c r="T42">
        <v>15.1</v>
      </c>
      <c r="U42">
        <v>52.2</v>
      </c>
      <c r="V42">
        <v>41.8</v>
      </c>
      <c r="W42" t="s">
        <v>50</v>
      </c>
      <c r="X42" t="s">
        <v>35</v>
      </c>
      <c r="Y42" t="s">
        <v>35</v>
      </c>
      <c r="Z42" t="s">
        <v>62</v>
      </c>
      <c r="AA42">
        <v>-16.7</v>
      </c>
      <c r="AB42">
        <v>109.1</v>
      </c>
      <c r="AC42" t="s">
        <v>126</v>
      </c>
    </row>
    <row r="43" spans="1:29" x14ac:dyDescent="0.35">
      <c r="A43" s="2" t="s">
        <v>146</v>
      </c>
      <c r="B43" s="2">
        <v>2</v>
      </c>
      <c r="C43" s="2">
        <v>16</v>
      </c>
      <c r="D43" s="2" t="s">
        <v>144</v>
      </c>
      <c r="E43" s="2">
        <v>2</v>
      </c>
      <c r="F43" s="2" t="s">
        <v>31</v>
      </c>
      <c r="G43" s="2">
        <v>1220</v>
      </c>
      <c r="H43" s="4" t="s">
        <v>147</v>
      </c>
      <c r="I43" s="2" t="str">
        <f t="shared" si="6"/>
        <v>2.16.2</v>
      </c>
      <c r="J43" s="5">
        <f t="shared" si="1"/>
        <v>3.1399999999999997</v>
      </c>
      <c r="K43" s="5">
        <f t="shared" si="2"/>
        <v>4.5</v>
      </c>
      <c r="L43" s="5">
        <f t="shared" si="3"/>
        <v>4.18</v>
      </c>
      <c r="M43" s="5">
        <f t="shared" si="4"/>
        <v>-0.16699999999999998</v>
      </c>
      <c r="N43" s="5">
        <f t="shared" si="5"/>
        <v>11.82</v>
      </c>
      <c r="O43" s="2">
        <v>222</v>
      </c>
      <c r="P43" s="4" t="s">
        <v>65</v>
      </c>
      <c r="Q43">
        <v>9.5</v>
      </c>
      <c r="R43">
        <v>13</v>
      </c>
      <c r="S43">
        <v>6</v>
      </c>
      <c r="T43">
        <v>31.4</v>
      </c>
      <c r="U43">
        <v>45</v>
      </c>
      <c r="V43">
        <v>41.8</v>
      </c>
      <c r="W43" t="s">
        <v>35</v>
      </c>
      <c r="X43" t="s">
        <v>35</v>
      </c>
      <c r="Y43" t="s">
        <v>35</v>
      </c>
      <c r="Z43" t="s">
        <v>62</v>
      </c>
      <c r="AA43">
        <v>-16.7</v>
      </c>
      <c r="AB43">
        <v>118.2</v>
      </c>
      <c r="AC43" t="s">
        <v>126</v>
      </c>
    </row>
    <row r="44" spans="1:29" x14ac:dyDescent="0.35">
      <c r="A44" s="2" t="s">
        <v>148</v>
      </c>
      <c r="B44" s="2">
        <v>2</v>
      </c>
      <c r="C44" s="2">
        <v>16</v>
      </c>
      <c r="D44" s="2" t="s">
        <v>144</v>
      </c>
      <c r="E44" s="2">
        <v>3</v>
      </c>
      <c r="F44" s="2" t="s">
        <v>31</v>
      </c>
      <c r="G44" s="2">
        <v>439</v>
      </c>
      <c r="H44" s="4" t="s">
        <v>149</v>
      </c>
      <c r="I44" s="2" t="str">
        <f t="shared" si="6"/>
        <v>2.16.3</v>
      </c>
      <c r="J44" s="5">
        <f t="shared" si="1"/>
        <v>3.37</v>
      </c>
      <c r="K44" s="5">
        <f t="shared" si="2"/>
        <v>5.2200000000000006</v>
      </c>
      <c r="L44" s="5">
        <f t="shared" si="3"/>
        <v>5.3100000000000005</v>
      </c>
      <c r="M44" s="5">
        <f t="shared" si="4"/>
        <v>-0.18100000000000002</v>
      </c>
      <c r="N44" s="5">
        <f t="shared" si="5"/>
        <v>13.9</v>
      </c>
      <c r="O44" s="2">
        <v>222</v>
      </c>
      <c r="P44" s="4" t="s">
        <v>65</v>
      </c>
      <c r="Q44">
        <v>11</v>
      </c>
      <c r="R44">
        <v>15</v>
      </c>
      <c r="S44">
        <v>12</v>
      </c>
      <c r="T44">
        <v>33.700000000000003</v>
      </c>
      <c r="U44">
        <v>52.2</v>
      </c>
      <c r="V44">
        <v>53.1</v>
      </c>
      <c r="W44" t="s">
        <v>35</v>
      </c>
      <c r="X44" t="s">
        <v>35</v>
      </c>
      <c r="Y44" t="s">
        <v>35</v>
      </c>
      <c r="Z44" t="s">
        <v>62</v>
      </c>
      <c r="AA44">
        <v>-18.100000000000001</v>
      </c>
      <c r="AB44">
        <v>139</v>
      </c>
      <c r="AC44" t="s">
        <v>126</v>
      </c>
    </row>
    <row r="45" spans="1:29" x14ac:dyDescent="0.35">
      <c r="A45" s="2" t="s">
        <v>150</v>
      </c>
      <c r="B45" s="2">
        <v>2</v>
      </c>
      <c r="C45" s="2">
        <v>17</v>
      </c>
      <c r="D45" s="2" t="s">
        <v>151</v>
      </c>
      <c r="E45" s="2">
        <v>1</v>
      </c>
      <c r="F45" s="2" t="s">
        <v>47</v>
      </c>
      <c r="G45" s="2">
        <v>1503</v>
      </c>
      <c r="H45" s="4" t="s">
        <v>152</v>
      </c>
      <c r="I45" s="2" t="str">
        <f t="shared" si="6"/>
        <v>2.17.1</v>
      </c>
      <c r="J45" s="5">
        <f t="shared" si="1"/>
        <v>6.0299999999999994</v>
      </c>
      <c r="K45" s="5">
        <f t="shared" si="2"/>
        <v>6.5</v>
      </c>
      <c r="L45" s="5">
        <f t="shared" si="3"/>
        <v>6.92</v>
      </c>
      <c r="M45" s="5">
        <f t="shared" si="4"/>
        <v>-0.436</v>
      </c>
      <c r="N45" s="5">
        <f t="shared" si="5"/>
        <v>19.45</v>
      </c>
      <c r="O45" s="2">
        <v>333</v>
      </c>
      <c r="P45" s="4" t="s">
        <v>83</v>
      </c>
      <c r="Q45">
        <v>37</v>
      </c>
      <c r="R45">
        <v>22</v>
      </c>
      <c r="S45">
        <v>25</v>
      </c>
      <c r="T45">
        <v>60.3</v>
      </c>
      <c r="U45">
        <v>65</v>
      </c>
      <c r="V45">
        <v>69.2</v>
      </c>
      <c r="W45" t="s">
        <v>34</v>
      </c>
      <c r="X45" t="s">
        <v>34</v>
      </c>
      <c r="Y45" t="s">
        <v>34</v>
      </c>
      <c r="Z45" t="s">
        <v>62</v>
      </c>
      <c r="AA45">
        <v>-43.6</v>
      </c>
      <c r="AB45">
        <v>194.5</v>
      </c>
      <c r="AC45" t="s">
        <v>126</v>
      </c>
    </row>
    <row r="46" spans="1:29" x14ac:dyDescent="0.35">
      <c r="A46" s="2" t="s">
        <v>153</v>
      </c>
      <c r="B46" s="2">
        <v>2</v>
      </c>
      <c r="C46" s="2">
        <v>17</v>
      </c>
      <c r="D46" s="2" t="s">
        <v>151</v>
      </c>
      <c r="E46" s="2">
        <v>2</v>
      </c>
      <c r="F46" s="2" t="s">
        <v>47</v>
      </c>
      <c r="G46" s="2">
        <v>1087</v>
      </c>
      <c r="H46" s="4" t="s">
        <v>154</v>
      </c>
      <c r="I46" s="2" t="str">
        <f t="shared" si="6"/>
        <v>2.17.2</v>
      </c>
      <c r="J46" s="5">
        <f t="shared" si="1"/>
        <v>7.1599999999999993</v>
      </c>
      <c r="K46" s="5">
        <f t="shared" si="2"/>
        <v>5.76</v>
      </c>
      <c r="L46" s="5">
        <f t="shared" si="3"/>
        <v>6.7900000000000009</v>
      </c>
      <c r="M46" s="5">
        <f t="shared" si="4"/>
        <v>-0.373</v>
      </c>
      <c r="N46" s="5">
        <f t="shared" si="5"/>
        <v>19.71</v>
      </c>
      <c r="O46" s="2">
        <v>323</v>
      </c>
      <c r="P46" s="4" t="s">
        <v>33</v>
      </c>
      <c r="Q46">
        <v>39.700000000000003</v>
      </c>
      <c r="R46">
        <v>17</v>
      </c>
      <c r="S46">
        <v>23</v>
      </c>
      <c r="T46">
        <v>71.599999999999994</v>
      </c>
      <c r="U46">
        <v>57.6</v>
      </c>
      <c r="V46">
        <v>67.900000000000006</v>
      </c>
      <c r="W46" t="s">
        <v>34</v>
      </c>
      <c r="X46" t="s">
        <v>35</v>
      </c>
      <c r="Y46" t="s">
        <v>34</v>
      </c>
      <c r="Z46" t="s">
        <v>62</v>
      </c>
      <c r="AA46">
        <v>-37.299999999999997</v>
      </c>
      <c r="AB46">
        <v>197.1</v>
      </c>
      <c r="AC46" t="s">
        <v>126</v>
      </c>
    </row>
    <row r="47" spans="1:29" x14ac:dyDescent="0.35">
      <c r="A47" s="2" t="s">
        <v>155</v>
      </c>
      <c r="B47" s="2">
        <v>2</v>
      </c>
      <c r="C47" s="2">
        <v>17</v>
      </c>
      <c r="D47" s="2" t="s">
        <v>151</v>
      </c>
      <c r="E47" s="2">
        <v>3</v>
      </c>
      <c r="F47" s="2" t="s">
        <v>47</v>
      </c>
      <c r="G47" s="2">
        <v>1988</v>
      </c>
      <c r="H47" s="4" t="s">
        <v>156</v>
      </c>
      <c r="I47" s="2" t="str">
        <f t="shared" si="6"/>
        <v>2.17.3</v>
      </c>
      <c r="J47" s="5">
        <f t="shared" si="1"/>
        <v>6.81</v>
      </c>
      <c r="K47" s="5">
        <f t="shared" si="2"/>
        <v>6.8400000000000007</v>
      </c>
      <c r="L47" s="5">
        <f t="shared" si="3"/>
        <v>6.63</v>
      </c>
      <c r="M47" s="5">
        <f t="shared" si="4"/>
        <v>-0.46399999999999997</v>
      </c>
      <c r="N47" s="5">
        <f t="shared" si="5"/>
        <v>20.28</v>
      </c>
      <c r="O47" s="2">
        <v>333</v>
      </c>
      <c r="P47" s="4" t="s">
        <v>83</v>
      </c>
      <c r="Q47">
        <v>39.299999999999997</v>
      </c>
      <c r="R47">
        <v>25</v>
      </c>
      <c r="S47">
        <v>22</v>
      </c>
      <c r="T47">
        <v>68.099999999999994</v>
      </c>
      <c r="U47">
        <v>68.400000000000006</v>
      </c>
      <c r="V47">
        <v>66.3</v>
      </c>
      <c r="W47" t="s">
        <v>34</v>
      </c>
      <c r="X47" t="s">
        <v>34</v>
      </c>
      <c r="Y47" t="s">
        <v>34</v>
      </c>
      <c r="Z47" t="s">
        <v>106</v>
      </c>
      <c r="AA47">
        <v>-46.4</v>
      </c>
      <c r="AB47">
        <v>202.8</v>
      </c>
      <c r="AC47" t="s">
        <v>126</v>
      </c>
    </row>
    <row r="48" spans="1:29" x14ac:dyDescent="0.35">
      <c r="A48" s="2" t="s">
        <v>157</v>
      </c>
      <c r="B48" s="2">
        <v>2</v>
      </c>
      <c r="C48" s="2">
        <v>17</v>
      </c>
      <c r="D48" s="2" t="s">
        <v>151</v>
      </c>
      <c r="E48" s="2">
        <v>4</v>
      </c>
      <c r="F48" s="2" t="s">
        <v>47</v>
      </c>
      <c r="G48" s="2">
        <v>503</v>
      </c>
      <c r="H48" s="4" t="s">
        <v>158</v>
      </c>
      <c r="I48" s="2" t="str">
        <f t="shared" si="6"/>
        <v>2.17.4</v>
      </c>
      <c r="J48" s="5">
        <f t="shared" si="1"/>
        <v>6.35</v>
      </c>
      <c r="K48" s="5">
        <f t="shared" si="2"/>
        <v>6.05</v>
      </c>
      <c r="L48" s="5">
        <f t="shared" si="3"/>
        <v>6.7900000000000009</v>
      </c>
      <c r="M48" s="5">
        <f t="shared" si="4"/>
        <v>-0.373</v>
      </c>
      <c r="N48" s="5">
        <f t="shared" si="5"/>
        <v>19.189999999999998</v>
      </c>
      <c r="O48" s="2">
        <v>333</v>
      </c>
      <c r="P48" s="4" t="s">
        <v>83</v>
      </c>
      <c r="Q48">
        <v>38</v>
      </c>
      <c r="R48">
        <v>19</v>
      </c>
      <c r="S48">
        <v>23</v>
      </c>
      <c r="T48">
        <v>63.5</v>
      </c>
      <c r="U48">
        <v>60.5</v>
      </c>
      <c r="V48">
        <v>67.900000000000006</v>
      </c>
      <c r="W48" t="s">
        <v>34</v>
      </c>
      <c r="X48" t="s">
        <v>34</v>
      </c>
      <c r="Y48" t="s">
        <v>34</v>
      </c>
      <c r="Z48" t="s">
        <v>62</v>
      </c>
      <c r="AA48">
        <v>-37.299999999999997</v>
      </c>
      <c r="AB48">
        <v>191.9</v>
      </c>
      <c r="AC48" t="s">
        <v>126</v>
      </c>
    </row>
    <row r="49" spans="1:29" x14ac:dyDescent="0.35">
      <c r="A49" s="2" t="s">
        <v>159</v>
      </c>
      <c r="B49" s="2">
        <v>2</v>
      </c>
      <c r="C49" s="2">
        <v>18</v>
      </c>
      <c r="D49" s="2" t="s">
        <v>160</v>
      </c>
      <c r="E49" s="2">
        <v>1</v>
      </c>
      <c r="F49" s="2" t="s">
        <v>31</v>
      </c>
      <c r="G49" s="2">
        <v>1898</v>
      </c>
      <c r="H49" s="4" t="s">
        <v>161</v>
      </c>
      <c r="I49" s="2" t="str">
        <f t="shared" si="6"/>
        <v>2.18.1</v>
      </c>
      <c r="J49" s="5">
        <f t="shared" si="1"/>
        <v>5.08</v>
      </c>
      <c r="K49" s="5">
        <f t="shared" si="2"/>
        <v>5.76</v>
      </c>
      <c r="L49" s="5">
        <f t="shared" si="3"/>
        <v>6.42</v>
      </c>
      <c r="M49" s="5">
        <f t="shared" si="4"/>
        <v>-0.09</v>
      </c>
      <c r="N49" s="5">
        <f t="shared" si="5"/>
        <v>17.259999999999998</v>
      </c>
      <c r="O49" s="2">
        <v>223</v>
      </c>
      <c r="P49" s="4" t="s">
        <v>42</v>
      </c>
      <c r="Q49">
        <v>21</v>
      </c>
      <c r="R49">
        <v>17</v>
      </c>
      <c r="S49">
        <v>20</v>
      </c>
      <c r="T49">
        <v>50.8</v>
      </c>
      <c r="U49">
        <v>57.6</v>
      </c>
      <c r="V49">
        <v>64.2</v>
      </c>
      <c r="W49" t="s">
        <v>35</v>
      </c>
      <c r="X49" t="s">
        <v>35</v>
      </c>
      <c r="Y49" t="s">
        <v>34</v>
      </c>
      <c r="Z49" t="s">
        <v>36</v>
      </c>
      <c r="AA49">
        <v>-9</v>
      </c>
      <c r="AB49">
        <v>172.6</v>
      </c>
      <c r="AC49" t="s">
        <v>126</v>
      </c>
    </row>
    <row r="50" spans="1:29" x14ac:dyDescent="0.35">
      <c r="A50" s="2" t="s">
        <v>162</v>
      </c>
      <c r="B50" s="2">
        <v>2</v>
      </c>
      <c r="C50" s="2">
        <v>18</v>
      </c>
      <c r="D50" s="2" t="s">
        <v>160</v>
      </c>
      <c r="E50" s="2">
        <v>2</v>
      </c>
      <c r="F50" s="2" t="s">
        <v>31</v>
      </c>
      <c r="G50" s="2">
        <v>2033</v>
      </c>
      <c r="H50" s="4" t="s">
        <v>163</v>
      </c>
      <c r="I50" s="2" t="str">
        <f t="shared" si="6"/>
        <v>2.18.2</v>
      </c>
      <c r="J50" s="5">
        <f t="shared" si="1"/>
        <v>4.66</v>
      </c>
      <c r="K50" s="5">
        <f t="shared" si="2"/>
        <v>5.55</v>
      </c>
      <c r="L50" s="5">
        <f t="shared" si="3"/>
        <v>6.07</v>
      </c>
      <c r="M50" s="5">
        <f t="shared" si="4"/>
        <v>-1.2E-2</v>
      </c>
      <c r="N50" s="5">
        <f t="shared" si="5"/>
        <v>16.28</v>
      </c>
      <c r="O50" s="2">
        <v>223</v>
      </c>
      <c r="P50" s="4" t="s">
        <v>42</v>
      </c>
      <c r="Q50">
        <v>18</v>
      </c>
      <c r="R50">
        <v>16</v>
      </c>
      <c r="S50">
        <v>18</v>
      </c>
      <c r="T50">
        <v>46.6</v>
      </c>
      <c r="U50">
        <v>55.5</v>
      </c>
      <c r="V50">
        <v>60.7</v>
      </c>
      <c r="W50" t="s">
        <v>35</v>
      </c>
      <c r="X50" t="s">
        <v>35</v>
      </c>
      <c r="Y50" t="s">
        <v>34</v>
      </c>
      <c r="Z50" t="s">
        <v>36</v>
      </c>
      <c r="AA50">
        <v>-1.2</v>
      </c>
      <c r="AB50">
        <v>162.80000000000001</v>
      </c>
      <c r="AC50" t="s">
        <v>126</v>
      </c>
    </row>
    <row r="51" spans="1:29" x14ac:dyDescent="0.35">
      <c r="A51" s="2" t="s">
        <v>164</v>
      </c>
      <c r="B51" s="2">
        <v>2</v>
      </c>
      <c r="C51" s="2">
        <v>19</v>
      </c>
      <c r="D51" s="2" t="s">
        <v>165</v>
      </c>
      <c r="E51" s="2">
        <v>1</v>
      </c>
      <c r="F51" s="2" t="s">
        <v>47</v>
      </c>
      <c r="G51" s="2">
        <v>1201</v>
      </c>
      <c r="H51" s="4" t="s">
        <v>166</v>
      </c>
      <c r="I51" s="2" t="str">
        <f t="shared" si="6"/>
        <v>2.19.1</v>
      </c>
      <c r="J51" s="5">
        <f t="shared" si="1"/>
        <v>2.16</v>
      </c>
      <c r="K51" s="5">
        <f t="shared" si="2"/>
        <v>4.5</v>
      </c>
      <c r="L51" s="5">
        <f t="shared" si="3"/>
        <v>4.9700000000000006</v>
      </c>
      <c r="M51" s="5">
        <f t="shared" si="4"/>
        <v>-0.13900000000000001</v>
      </c>
      <c r="N51" s="5">
        <f t="shared" si="5"/>
        <v>11.63</v>
      </c>
      <c r="O51" s="2">
        <v>122</v>
      </c>
      <c r="P51" s="4" t="s">
        <v>53</v>
      </c>
      <c r="Q51">
        <v>6.5</v>
      </c>
      <c r="R51">
        <v>13</v>
      </c>
      <c r="S51">
        <v>10</v>
      </c>
      <c r="T51">
        <v>21.6</v>
      </c>
      <c r="U51">
        <v>45</v>
      </c>
      <c r="V51">
        <v>49.7</v>
      </c>
      <c r="W51" t="s">
        <v>50</v>
      </c>
      <c r="X51" t="s">
        <v>35</v>
      </c>
      <c r="Y51" t="s">
        <v>35</v>
      </c>
      <c r="Z51" t="s">
        <v>62</v>
      </c>
      <c r="AA51">
        <v>-13.9</v>
      </c>
      <c r="AB51">
        <v>116.3</v>
      </c>
      <c r="AC51" t="s">
        <v>126</v>
      </c>
    </row>
    <row r="52" spans="1:29" x14ac:dyDescent="0.35">
      <c r="A52" s="2" t="s">
        <v>167</v>
      </c>
      <c r="B52" s="2">
        <v>2</v>
      </c>
      <c r="C52" s="2">
        <v>19</v>
      </c>
      <c r="D52" s="2" t="s">
        <v>165</v>
      </c>
      <c r="E52" s="2">
        <v>2</v>
      </c>
      <c r="F52" s="2" t="s">
        <v>47</v>
      </c>
      <c r="G52" s="2">
        <v>1254</v>
      </c>
      <c r="H52" s="4" t="s">
        <v>168</v>
      </c>
      <c r="I52" s="2" t="str">
        <f t="shared" si="6"/>
        <v>2.19.2</v>
      </c>
      <c r="J52" s="5">
        <f t="shared" si="1"/>
        <v>3.37</v>
      </c>
      <c r="K52" s="5">
        <f t="shared" si="2"/>
        <v>5.2200000000000006</v>
      </c>
      <c r="L52" s="5">
        <f t="shared" si="3"/>
        <v>4.9700000000000006</v>
      </c>
      <c r="M52" s="5">
        <f t="shared" si="4"/>
        <v>-0.17899999999999999</v>
      </c>
      <c r="N52" s="5">
        <f t="shared" si="5"/>
        <v>13.56</v>
      </c>
      <c r="O52" s="2">
        <v>222</v>
      </c>
      <c r="P52" s="4" t="s">
        <v>65</v>
      </c>
      <c r="Q52">
        <v>11</v>
      </c>
      <c r="R52">
        <v>15</v>
      </c>
      <c r="S52">
        <v>10</v>
      </c>
      <c r="T52">
        <v>33.700000000000003</v>
      </c>
      <c r="U52">
        <v>52.2</v>
      </c>
      <c r="V52">
        <v>49.7</v>
      </c>
      <c r="W52" t="s">
        <v>35</v>
      </c>
      <c r="X52" t="s">
        <v>35</v>
      </c>
      <c r="Y52" t="s">
        <v>35</v>
      </c>
      <c r="Z52" t="s">
        <v>62</v>
      </c>
      <c r="AA52">
        <v>-17.899999999999999</v>
      </c>
      <c r="AB52">
        <v>135.6</v>
      </c>
      <c r="AC52" t="s">
        <v>126</v>
      </c>
    </row>
    <row r="53" spans="1:29" x14ac:dyDescent="0.35">
      <c r="A53" s="2" t="s">
        <v>169</v>
      </c>
      <c r="B53" s="2">
        <v>2</v>
      </c>
      <c r="C53" s="2">
        <v>19</v>
      </c>
      <c r="D53" s="2" t="s">
        <v>165</v>
      </c>
      <c r="E53" s="2">
        <v>3</v>
      </c>
      <c r="F53" s="2" t="s">
        <v>47</v>
      </c>
      <c r="G53" s="2">
        <v>2112</v>
      </c>
      <c r="H53" s="4" t="s">
        <v>170</v>
      </c>
      <c r="I53" s="2" t="str">
        <f t="shared" si="6"/>
        <v>2.19.3</v>
      </c>
      <c r="J53" s="5">
        <f t="shared" si="1"/>
        <v>3.85</v>
      </c>
      <c r="K53" s="5">
        <f t="shared" si="2"/>
        <v>5.2200000000000006</v>
      </c>
      <c r="L53" s="5">
        <f t="shared" si="3"/>
        <v>5.95</v>
      </c>
      <c r="M53" s="5">
        <f t="shared" si="4"/>
        <v>-0.16699999999999998</v>
      </c>
      <c r="N53" s="5">
        <f t="shared" si="5"/>
        <v>15.02</v>
      </c>
      <c r="O53" s="2">
        <v>222</v>
      </c>
      <c r="P53" s="4" t="s">
        <v>65</v>
      </c>
      <c r="Q53">
        <v>13.5</v>
      </c>
      <c r="R53">
        <v>15</v>
      </c>
      <c r="S53">
        <v>17</v>
      </c>
      <c r="T53">
        <v>38.5</v>
      </c>
      <c r="U53">
        <v>52.2</v>
      </c>
      <c r="V53">
        <v>59.5</v>
      </c>
      <c r="W53" t="s">
        <v>35</v>
      </c>
      <c r="X53" t="s">
        <v>35</v>
      </c>
      <c r="Y53" t="s">
        <v>35</v>
      </c>
      <c r="Z53" t="s">
        <v>62</v>
      </c>
      <c r="AA53">
        <v>-16.7</v>
      </c>
      <c r="AB53">
        <v>150.19999999999999</v>
      </c>
      <c r="AC53" t="s">
        <v>126</v>
      </c>
    </row>
    <row r="54" spans="1:29" x14ac:dyDescent="0.35">
      <c r="A54" s="2" t="s">
        <v>171</v>
      </c>
      <c r="B54" s="2">
        <v>2</v>
      </c>
      <c r="C54" s="2">
        <v>20</v>
      </c>
      <c r="D54" s="2" t="s">
        <v>172</v>
      </c>
      <c r="E54" s="2">
        <v>1</v>
      </c>
      <c r="F54" s="2" t="s">
        <v>31</v>
      </c>
      <c r="G54" s="2">
        <v>437</v>
      </c>
      <c r="H54" s="4" t="s">
        <v>173</v>
      </c>
      <c r="I54" s="2" t="str">
        <f t="shared" si="6"/>
        <v>2.20.1</v>
      </c>
      <c r="J54" s="5">
        <f t="shared" si="1"/>
        <v>2.5100000000000002</v>
      </c>
      <c r="K54" s="5">
        <f t="shared" si="2"/>
        <v>6.05</v>
      </c>
      <c r="L54" s="5">
        <f t="shared" si="3"/>
        <v>5.95</v>
      </c>
      <c r="M54" s="5">
        <f t="shared" si="4"/>
        <v>-0.28000000000000003</v>
      </c>
      <c r="N54" s="5">
        <f t="shared" si="5"/>
        <v>14.510000000000002</v>
      </c>
      <c r="O54" s="2">
        <v>132</v>
      </c>
      <c r="P54" s="4" t="s">
        <v>49</v>
      </c>
      <c r="Q54">
        <v>8</v>
      </c>
      <c r="R54">
        <v>19</v>
      </c>
      <c r="S54">
        <v>17</v>
      </c>
      <c r="T54">
        <v>25.1</v>
      </c>
      <c r="U54">
        <v>60.5</v>
      </c>
      <c r="V54">
        <v>59.5</v>
      </c>
      <c r="W54" t="s">
        <v>50</v>
      </c>
      <c r="X54" t="s">
        <v>34</v>
      </c>
      <c r="Y54" t="s">
        <v>35</v>
      </c>
      <c r="Z54" t="s">
        <v>62</v>
      </c>
      <c r="AA54">
        <v>-28</v>
      </c>
      <c r="AB54">
        <v>145.1</v>
      </c>
      <c r="AC54" t="s">
        <v>126</v>
      </c>
    </row>
    <row r="55" spans="1:29" x14ac:dyDescent="0.35">
      <c r="A55" s="2" t="s">
        <v>174</v>
      </c>
      <c r="B55" s="2">
        <v>2</v>
      </c>
      <c r="C55" s="2">
        <v>20</v>
      </c>
      <c r="D55" s="2" t="s">
        <v>172</v>
      </c>
      <c r="E55" s="2">
        <v>2</v>
      </c>
      <c r="F55" s="2" t="s">
        <v>31</v>
      </c>
      <c r="G55" s="2">
        <v>1289</v>
      </c>
      <c r="H55" s="4" t="s">
        <v>175</v>
      </c>
      <c r="I55" s="2" t="str">
        <f t="shared" si="6"/>
        <v>2.20.2</v>
      </c>
      <c r="J55" s="5">
        <f t="shared" si="1"/>
        <v>3.56</v>
      </c>
      <c r="K55" s="5">
        <f t="shared" si="2"/>
        <v>6.29</v>
      </c>
      <c r="L55" s="5">
        <f t="shared" si="3"/>
        <v>5.58</v>
      </c>
      <c r="M55" s="5">
        <f t="shared" si="4"/>
        <v>-0.26200000000000001</v>
      </c>
      <c r="N55" s="5">
        <f t="shared" si="5"/>
        <v>15.43</v>
      </c>
      <c r="O55" s="2">
        <v>232</v>
      </c>
      <c r="P55" s="4" t="s">
        <v>61</v>
      </c>
      <c r="Q55">
        <v>11.7</v>
      </c>
      <c r="R55">
        <v>21</v>
      </c>
      <c r="S55">
        <v>14</v>
      </c>
      <c r="T55">
        <v>35.6</v>
      </c>
      <c r="U55">
        <v>62.9</v>
      </c>
      <c r="V55">
        <v>55.8</v>
      </c>
      <c r="W55" t="s">
        <v>35</v>
      </c>
      <c r="X55" t="s">
        <v>34</v>
      </c>
      <c r="Y55" t="s">
        <v>35</v>
      </c>
      <c r="Z55" t="s">
        <v>62</v>
      </c>
      <c r="AA55">
        <v>-26.2</v>
      </c>
      <c r="AB55">
        <v>154.30000000000001</v>
      </c>
      <c r="AC55" t="s">
        <v>126</v>
      </c>
    </row>
    <row r="56" spans="1:29" x14ac:dyDescent="0.35">
      <c r="A56" s="2" t="s">
        <v>176</v>
      </c>
      <c r="B56" s="2">
        <v>2</v>
      </c>
      <c r="C56" s="2">
        <v>20</v>
      </c>
      <c r="D56" s="2" t="s">
        <v>172</v>
      </c>
      <c r="E56" s="2">
        <v>3</v>
      </c>
      <c r="F56" s="2" t="s">
        <v>47</v>
      </c>
      <c r="G56" s="2">
        <v>766</v>
      </c>
      <c r="H56" s="4" t="s">
        <v>177</v>
      </c>
      <c r="I56" s="2" t="str">
        <f t="shared" si="6"/>
        <v>2.20.3</v>
      </c>
      <c r="J56" s="5">
        <f t="shared" si="1"/>
        <v>3.6799999999999997</v>
      </c>
      <c r="K56" s="5">
        <f t="shared" si="2"/>
        <v>6.76</v>
      </c>
      <c r="L56" s="5">
        <f t="shared" si="3"/>
        <v>5.82</v>
      </c>
      <c r="M56" s="5">
        <f t="shared" si="4"/>
        <v>-0.27399999999999997</v>
      </c>
      <c r="N56" s="5">
        <f t="shared" si="5"/>
        <v>16.259999999999998</v>
      </c>
      <c r="O56" s="2">
        <v>232</v>
      </c>
      <c r="P56" s="4" t="s">
        <v>61</v>
      </c>
      <c r="Q56">
        <v>12.3</v>
      </c>
      <c r="R56">
        <v>24</v>
      </c>
      <c r="S56">
        <v>16</v>
      </c>
      <c r="T56">
        <v>36.799999999999997</v>
      </c>
      <c r="U56">
        <v>67.599999999999994</v>
      </c>
      <c r="V56">
        <v>58.2</v>
      </c>
      <c r="W56" t="s">
        <v>35</v>
      </c>
      <c r="X56" t="s">
        <v>34</v>
      </c>
      <c r="Y56" t="s">
        <v>35</v>
      </c>
      <c r="Z56" t="s">
        <v>62</v>
      </c>
      <c r="AA56">
        <v>-27.4</v>
      </c>
      <c r="AB56">
        <v>162.6</v>
      </c>
      <c r="AC56" t="s">
        <v>126</v>
      </c>
    </row>
    <row r="57" spans="1:29" x14ac:dyDescent="0.35">
      <c r="A57" s="2" t="s">
        <v>178</v>
      </c>
      <c r="B57" s="2">
        <v>2</v>
      </c>
      <c r="C57" s="2">
        <v>20</v>
      </c>
      <c r="D57" s="2" t="s">
        <v>172</v>
      </c>
      <c r="E57" s="2">
        <v>4</v>
      </c>
      <c r="F57" s="2" t="s">
        <v>31</v>
      </c>
      <c r="G57" s="2">
        <v>999</v>
      </c>
      <c r="H57" s="4" t="s">
        <v>179</v>
      </c>
      <c r="I57" s="2" t="str">
        <f t="shared" si="6"/>
        <v>2.20.4</v>
      </c>
      <c r="J57" s="5">
        <f t="shared" si="1"/>
        <v>4.0999999999999996</v>
      </c>
      <c r="K57" s="5">
        <f t="shared" si="2"/>
        <v>6.29</v>
      </c>
      <c r="L57" s="5">
        <f t="shared" si="3"/>
        <v>5.58</v>
      </c>
      <c r="M57" s="5">
        <f t="shared" si="4"/>
        <v>-0.26200000000000001</v>
      </c>
      <c r="N57" s="5">
        <f t="shared" si="5"/>
        <v>15.97</v>
      </c>
      <c r="O57" s="2">
        <v>232</v>
      </c>
      <c r="P57" s="4" t="s">
        <v>61</v>
      </c>
      <c r="Q57">
        <v>14</v>
      </c>
      <c r="R57">
        <v>21</v>
      </c>
      <c r="S57">
        <v>14</v>
      </c>
      <c r="T57">
        <v>41</v>
      </c>
      <c r="U57">
        <v>62.9</v>
      </c>
      <c r="V57">
        <v>55.8</v>
      </c>
      <c r="W57" t="s">
        <v>35</v>
      </c>
      <c r="X57" t="s">
        <v>34</v>
      </c>
      <c r="Y57" t="s">
        <v>35</v>
      </c>
      <c r="Z57" t="s">
        <v>62</v>
      </c>
      <c r="AA57">
        <v>-26.2</v>
      </c>
      <c r="AB57">
        <v>159.69999999999999</v>
      </c>
      <c r="AC57" t="s">
        <v>126</v>
      </c>
    </row>
    <row r="58" spans="1:29" x14ac:dyDescent="0.35">
      <c r="A58" s="2" t="s">
        <v>180</v>
      </c>
      <c r="B58" s="2">
        <v>2</v>
      </c>
      <c r="C58" s="2">
        <v>21</v>
      </c>
      <c r="D58" s="2" t="s">
        <v>181</v>
      </c>
      <c r="E58" s="2">
        <v>1</v>
      </c>
      <c r="F58" s="2" t="s">
        <v>47</v>
      </c>
      <c r="G58" s="2">
        <v>1465</v>
      </c>
      <c r="H58" s="4" t="s">
        <v>182</v>
      </c>
      <c r="I58" s="2" t="str">
        <f t="shared" si="6"/>
        <v>2.21.1</v>
      </c>
      <c r="J58" s="5">
        <f t="shared" si="1"/>
        <v>4.0999999999999996</v>
      </c>
      <c r="K58" s="5">
        <f t="shared" si="2"/>
        <v>7.1</v>
      </c>
      <c r="L58" s="5">
        <f t="shared" si="3"/>
        <v>6.2299999999999995</v>
      </c>
      <c r="M58" s="5">
        <f t="shared" si="4"/>
        <v>-0.33600000000000002</v>
      </c>
      <c r="N58" s="5">
        <f t="shared" si="5"/>
        <v>17.43</v>
      </c>
      <c r="O58" s="2">
        <v>233</v>
      </c>
      <c r="P58" s="4" t="s">
        <v>105</v>
      </c>
      <c r="Q58">
        <v>14</v>
      </c>
      <c r="R58">
        <v>29</v>
      </c>
      <c r="S58">
        <v>19</v>
      </c>
      <c r="T58">
        <v>41</v>
      </c>
      <c r="U58">
        <v>71</v>
      </c>
      <c r="V58">
        <v>62.3</v>
      </c>
      <c r="W58" t="s">
        <v>35</v>
      </c>
      <c r="X58" t="s">
        <v>34</v>
      </c>
      <c r="Y58" t="s">
        <v>34</v>
      </c>
      <c r="Z58" t="s">
        <v>62</v>
      </c>
      <c r="AA58">
        <v>-33.6</v>
      </c>
      <c r="AB58">
        <v>174.3</v>
      </c>
      <c r="AC58" t="s">
        <v>126</v>
      </c>
    </row>
    <row r="59" spans="1:29" x14ac:dyDescent="0.35">
      <c r="A59" s="2" t="s">
        <v>183</v>
      </c>
      <c r="B59" s="2">
        <v>2</v>
      </c>
      <c r="C59" s="2">
        <v>21</v>
      </c>
      <c r="D59" s="2" t="s">
        <v>181</v>
      </c>
      <c r="E59" s="2">
        <v>2</v>
      </c>
      <c r="F59" s="2" t="s">
        <v>31</v>
      </c>
      <c r="G59" s="2">
        <v>139</v>
      </c>
      <c r="H59" s="4" t="s">
        <v>184</v>
      </c>
      <c r="I59" s="2" t="str">
        <f t="shared" si="6"/>
        <v>2.21.2</v>
      </c>
      <c r="J59" s="5">
        <f t="shared" si="1"/>
        <v>5.5299999999999994</v>
      </c>
      <c r="K59" s="5">
        <f t="shared" si="2"/>
        <v>7.9099999999999993</v>
      </c>
      <c r="L59" s="5">
        <f t="shared" si="3"/>
        <v>7.31</v>
      </c>
      <c r="M59" s="5">
        <f t="shared" si="4"/>
        <v>-0.71599999999999997</v>
      </c>
      <c r="N59" s="5">
        <f t="shared" si="5"/>
        <v>20.749999999999996</v>
      </c>
      <c r="O59" s="2">
        <v>233</v>
      </c>
      <c r="P59" s="4" t="s">
        <v>105</v>
      </c>
      <c r="Q59">
        <v>30.5</v>
      </c>
      <c r="R59">
        <v>54</v>
      </c>
      <c r="S59">
        <v>44</v>
      </c>
      <c r="T59">
        <v>55.3</v>
      </c>
      <c r="U59">
        <v>79.099999999999994</v>
      </c>
      <c r="V59">
        <v>73.099999999999994</v>
      </c>
      <c r="W59" t="s">
        <v>35</v>
      </c>
      <c r="X59" t="s">
        <v>34</v>
      </c>
      <c r="Y59" t="s">
        <v>34</v>
      </c>
      <c r="Z59" t="s">
        <v>106</v>
      </c>
      <c r="AA59">
        <v>-71.599999999999994</v>
      </c>
      <c r="AB59">
        <v>207.5</v>
      </c>
      <c r="AC59" t="s">
        <v>126</v>
      </c>
    </row>
    <row r="60" spans="1:29" x14ac:dyDescent="0.35">
      <c r="A60" s="2" t="s">
        <v>185</v>
      </c>
      <c r="B60" s="2">
        <v>2</v>
      </c>
      <c r="C60" s="2">
        <v>21</v>
      </c>
      <c r="D60" s="2" t="s">
        <v>181</v>
      </c>
      <c r="E60" s="2">
        <v>3</v>
      </c>
      <c r="F60" s="2" t="s">
        <v>47</v>
      </c>
      <c r="G60" s="2">
        <v>371</v>
      </c>
      <c r="H60" s="4" t="s">
        <v>184</v>
      </c>
      <c r="I60" s="2" t="str">
        <f t="shared" si="6"/>
        <v>2.21.3</v>
      </c>
      <c r="J60" s="5">
        <f t="shared" si="1"/>
        <v>5.64</v>
      </c>
      <c r="K60" s="5">
        <f t="shared" si="2"/>
        <v>7.9099999999999993</v>
      </c>
      <c r="L60" s="5">
        <f t="shared" si="3"/>
        <v>7.56</v>
      </c>
      <c r="M60" s="5">
        <f t="shared" si="4"/>
        <v>-0.74099999999999999</v>
      </c>
      <c r="N60" s="5">
        <f t="shared" si="5"/>
        <v>21.11</v>
      </c>
      <c r="O60" s="2">
        <v>233</v>
      </c>
      <c r="P60" s="4" t="s">
        <v>105</v>
      </c>
      <c r="Q60">
        <v>31.5</v>
      </c>
      <c r="R60">
        <v>54</v>
      </c>
      <c r="S60">
        <v>46</v>
      </c>
      <c r="T60">
        <v>56.4</v>
      </c>
      <c r="U60">
        <v>79.099999999999994</v>
      </c>
      <c r="V60">
        <v>75.599999999999994</v>
      </c>
      <c r="W60" t="s">
        <v>35</v>
      </c>
      <c r="X60" t="s">
        <v>34</v>
      </c>
      <c r="Y60" t="s">
        <v>34</v>
      </c>
      <c r="Z60" t="s">
        <v>106</v>
      </c>
      <c r="AA60">
        <v>-74.099999999999994</v>
      </c>
      <c r="AB60">
        <v>211.1</v>
      </c>
      <c r="AC60" t="s">
        <v>126</v>
      </c>
    </row>
    <row r="61" spans="1:29" x14ac:dyDescent="0.35">
      <c r="A61" s="2" t="s">
        <v>186</v>
      </c>
      <c r="B61" s="2">
        <v>2</v>
      </c>
      <c r="C61" s="2">
        <v>21</v>
      </c>
      <c r="D61" s="2" t="s">
        <v>181</v>
      </c>
      <c r="E61" s="2">
        <v>4</v>
      </c>
      <c r="F61" s="2" t="s">
        <v>31</v>
      </c>
      <c r="G61" s="2">
        <v>481</v>
      </c>
      <c r="H61" s="4" t="s">
        <v>184</v>
      </c>
      <c r="I61" s="2" t="str">
        <f t="shared" si="6"/>
        <v>2.21.4</v>
      </c>
      <c r="J61" s="5">
        <f t="shared" si="1"/>
        <v>5.76</v>
      </c>
      <c r="K61" s="5">
        <f t="shared" si="2"/>
        <v>7.9099999999999993</v>
      </c>
      <c r="L61" s="5">
        <f t="shared" si="3"/>
        <v>7.31</v>
      </c>
      <c r="M61" s="5">
        <f t="shared" si="4"/>
        <v>-0.71599999999999997</v>
      </c>
      <c r="N61" s="5">
        <f t="shared" si="5"/>
        <v>20.979999999999997</v>
      </c>
      <c r="O61" s="2">
        <v>233</v>
      </c>
      <c r="P61" s="4" t="s">
        <v>105</v>
      </c>
      <c r="Q61">
        <v>33.5</v>
      </c>
      <c r="R61">
        <v>54</v>
      </c>
      <c r="S61">
        <v>44</v>
      </c>
      <c r="T61">
        <v>57.6</v>
      </c>
      <c r="U61">
        <v>79.099999999999994</v>
      </c>
      <c r="V61">
        <v>73.099999999999994</v>
      </c>
      <c r="W61" t="s">
        <v>35</v>
      </c>
      <c r="X61" t="s">
        <v>34</v>
      </c>
      <c r="Y61" t="s">
        <v>34</v>
      </c>
      <c r="Z61" t="s">
        <v>106</v>
      </c>
      <c r="AA61">
        <v>-71.599999999999994</v>
      </c>
      <c r="AB61">
        <v>209.8</v>
      </c>
      <c r="AC61" t="s">
        <v>126</v>
      </c>
    </row>
    <row r="62" spans="1:29" x14ac:dyDescent="0.35">
      <c r="A62" s="2" t="s">
        <v>187</v>
      </c>
      <c r="B62" s="2">
        <v>2</v>
      </c>
      <c r="C62" s="2">
        <v>21</v>
      </c>
      <c r="D62" s="2" t="s">
        <v>181</v>
      </c>
      <c r="E62" s="2">
        <v>5</v>
      </c>
      <c r="F62" s="2" t="s">
        <v>47</v>
      </c>
      <c r="G62" s="2">
        <v>582</v>
      </c>
      <c r="H62" s="4" t="s">
        <v>184</v>
      </c>
      <c r="I62" s="2" t="str">
        <f t="shared" si="6"/>
        <v>2.21.5</v>
      </c>
      <c r="J62" s="5">
        <f t="shared" si="1"/>
        <v>5.89</v>
      </c>
      <c r="K62" s="5">
        <f t="shared" si="2"/>
        <v>8.68</v>
      </c>
      <c r="L62" s="5">
        <f t="shared" si="3"/>
        <v>7.9799999999999995</v>
      </c>
      <c r="M62" s="5">
        <f t="shared" si="4"/>
        <v>-0.79799999999999993</v>
      </c>
      <c r="N62" s="5">
        <f t="shared" si="5"/>
        <v>22.55</v>
      </c>
      <c r="O62" s="2">
        <v>233</v>
      </c>
      <c r="P62" s="4" t="s">
        <v>105</v>
      </c>
      <c r="Q62">
        <v>34.5</v>
      </c>
      <c r="R62">
        <v>56</v>
      </c>
      <c r="S62">
        <v>52</v>
      </c>
      <c r="T62">
        <v>58.9</v>
      </c>
      <c r="U62">
        <v>86.8</v>
      </c>
      <c r="V62">
        <v>79.8</v>
      </c>
      <c r="W62" t="s">
        <v>35</v>
      </c>
      <c r="X62" t="s">
        <v>34</v>
      </c>
      <c r="Y62" t="s">
        <v>34</v>
      </c>
      <c r="Z62" t="s">
        <v>106</v>
      </c>
      <c r="AA62">
        <v>-79.8</v>
      </c>
      <c r="AB62">
        <v>225.5</v>
      </c>
      <c r="AC62" t="s">
        <v>126</v>
      </c>
    </row>
    <row r="63" spans="1:29" x14ac:dyDescent="0.35">
      <c r="A63" s="2" t="s">
        <v>188</v>
      </c>
      <c r="B63" s="2">
        <v>2</v>
      </c>
      <c r="C63" s="2">
        <v>21</v>
      </c>
      <c r="D63" s="2" t="s">
        <v>181</v>
      </c>
      <c r="E63" s="2">
        <v>6</v>
      </c>
      <c r="F63" s="2" t="s">
        <v>31</v>
      </c>
      <c r="G63" s="2">
        <v>1137</v>
      </c>
      <c r="H63" s="4" t="s">
        <v>189</v>
      </c>
      <c r="I63" s="2" t="str">
        <f t="shared" si="6"/>
        <v>2.21.6</v>
      </c>
      <c r="J63" s="5">
        <f t="shared" si="1"/>
        <v>4.9399999999999995</v>
      </c>
      <c r="K63" s="5">
        <f t="shared" si="2"/>
        <v>7.42</v>
      </c>
      <c r="L63" s="5">
        <f t="shared" si="3"/>
        <v>6.5299999999999994</v>
      </c>
      <c r="M63" s="5">
        <f t="shared" si="4"/>
        <v>-0.35299999999999998</v>
      </c>
      <c r="N63" s="5">
        <f t="shared" si="5"/>
        <v>18.89</v>
      </c>
      <c r="O63" s="2">
        <v>233</v>
      </c>
      <c r="P63" s="4" t="s">
        <v>105</v>
      </c>
      <c r="Q63">
        <v>19.5</v>
      </c>
      <c r="R63">
        <v>37</v>
      </c>
      <c r="S63">
        <v>21</v>
      </c>
      <c r="T63">
        <v>49.4</v>
      </c>
      <c r="U63">
        <v>74.2</v>
      </c>
      <c r="V63">
        <v>65.3</v>
      </c>
      <c r="W63" t="s">
        <v>35</v>
      </c>
      <c r="X63" t="s">
        <v>34</v>
      </c>
      <c r="Y63" t="s">
        <v>34</v>
      </c>
      <c r="Z63" t="s">
        <v>62</v>
      </c>
      <c r="AA63">
        <v>-35.299999999999997</v>
      </c>
      <c r="AB63">
        <v>188.9</v>
      </c>
      <c r="AC63" t="s">
        <v>126</v>
      </c>
    </row>
    <row r="64" spans="1:29" x14ac:dyDescent="0.35">
      <c r="A64" s="2" t="s">
        <v>190</v>
      </c>
      <c r="B64" s="2">
        <v>2</v>
      </c>
      <c r="C64" s="2">
        <v>22</v>
      </c>
      <c r="D64" s="2" t="s">
        <v>191</v>
      </c>
      <c r="E64" s="2">
        <v>1</v>
      </c>
      <c r="F64" s="2" t="s">
        <v>47</v>
      </c>
      <c r="G64" s="2">
        <v>1761</v>
      </c>
      <c r="H64" s="4" t="s">
        <v>192</v>
      </c>
      <c r="I64" s="2" t="str">
        <f t="shared" si="6"/>
        <v>2.22.1</v>
      </c>
      <c r="J64" s="5">
        <f t="shared" si="1"/>
        <v>2.87</v>
      </c>
      <c r="K64" s="5">
        <f t="shared" si="2"/>
        <v>5.2200000000000006</v>
      </c>
      <c r="L64" s="5">
        <f t="shared" si="3"/>
        <v>4.9700000000000006</v>
      </c>
      <c r="M64" s="5">
        <f t="shared" si="4"/>
        <v>-0.26800000000000002</v>
      </c>
      <c r="N64" s="5">
        <f t="shared" si="5"/>
        <v>13.06</v>
      </c>
      <c r="O64" s="2">
        <v>122</v>
      </c>
      <c r="P64" s="4" t="s">
        <v>53</v>
      </c>
      <c r="Q64">
        <v>9</v>
      </c>
      <c r="R64">
        <v>15</v>
      </c>
      <c r="S64">
        <v>10</v>
      </c>
      <c r="T64">
        <v>28.7</v>
      </c>
      <c r="U64">
        <v>52.2</v>
      </c>
      <c r="V64">
        <v>49.7</v>
      </c>
      <c r="W64" t="s">
        <v>50</v>
      </c>
      <c r="X64" t="s">
        <v>35</v>
      </c>
      <c r="Y64" t="s">
        <v>35</v>
      </c>
      <c r="Z64" t="s">
        <v>62</v>
      </c>
      <c r="AA64">
        <v>-26.8</v>
      </c>
      <c r="AB64">
        <v>130.6</v>
      </c>
      <c r="AC64" t="s">
        <v>126</v>
      </c>
    </row>
    <row r="65" spans="1:29" x14ac:dyDescent="0.35">
      <c r="A65" s="2" t="s">
        <v>193</v>
      </c>
      <c r="B65" s="2">
        <v>2</v>
      </c>
      <c r="C65" s="2">
        <v>22</v>
      </c>
      <c r="D65" s="2" t="s">
        <v>191</v>
      </c>
      <c r="E65" s="2">
        <v>2</v>
      </c>
      <c r="F65" s="2" t="s">
        <v>31</v>
      </c>
      <c r="G65" s="2">
        <v>1756</v>
      </c>
      <c r="H65" s="4" t="s">
        <v>194</v>
      </c>
      <c r="I65" s="2" t="str">
        <f t="shared" si="6"/>
        <v>2.22.2</v>
      </c>
      <c r="J65" s="5">
        <f t="shared" si="1"/>
        <v>3.85</v>
      </c>
      <c r="K65" s="5">
        <f t="shared" si="2"/>
        <v>5.91</v>
      </c>
      <c r="L65" s="5">
        <f t="shared" si="3"/>
        <v>5.3100000000000005</v>
      </c>
      <c r="M65" s="5">
        <f t="shared" si="4"/>
        <v>-0.28699999999999998</v>
      </c>
      <c r="N65" s="5">
        <f t="shared" si="5"/>
        <v>15.07</v>
      </c>
      <c r="O65" s="2">
        <v>222</v>
      </c>
      <c r="P65" s="4" t="s">
        <v>65</v>
      </c>
      <c r="Q65">
        <v>13.5</v>
      </c>
      <c r="R65">
        <v>18</v>
      </c>
      <c r="S65">
        <v>12</v>
      </c>
      <c r="T65">
        <v>38.5</v>
      </c>
      <c r="U65">
        <v>59.1</v>
      </c>
      <c r="V65">
        <v>53.1</v>
      </c>
      <c r="W65" t="s">
        <v>35</v>
      </c>
      <c r="X65" t="s">
        <v>35</v>
      </c>
      <c r="Y65" t="s">
        <v>35</v>
      </c>
      <c r="Z65" t="s">
        <v>62</v>
      </c>
      <c r="AA65">
        <v>-28.7</v>
      </c>
      <c r="AB65">
        <v>150.69999999999999</v>
      </c>
      <c r="AC65" t="s">
        <v>126</v>
      </c>
    </row>
    <row r="66" spans="1:29" x14ac:dyDescent="0.35">
      <c r="A66" s="2" t="s">
        <v>195</v>
      </c>
      <c r="B66" s="2">
        <v>2</v>
      </c>
      <c r="C66" s="2">
        <v>22</v>
      </c>
      <c r="D66" s="2" t="s">
        <v>191</v>
      </c>
      <c r="E66" s="2">
        <v>3</v>
      </c>
      <c r="F66" s="2" t="s">
        <v>47</v>
      </c>
      <c r="G66" s="2">
        <v>1133</v>
      </c>
      <c r="H66" s="4" t="s">
        <v>196</v>
      </c>
      <c r="I66" s="2" t="str">
        <f t="shared" ref="I66:I97" si="7">B66&amp;"."&amp;C66&amp;"."&amp;E66</f>
        <v>2.22.3</v>
      </c>
      <c r="J66" s="5">
        <f t="shared" si="1"/>
        <v>4.0999999999999996</v>
      </c>
      <c r="K66" s="5">
        <f t="shared" si="2"/>
        <v>6.5</v>
      </c>
      <c r="L66" s="5">
        <f t="shared" si="3"/>
        <v>6.42</v>
      </c>
      <c r="M66" s="5">
        <f t="shared" si="4"/>
        <v>-0.43700000000000006</v>
      </c>
      <c r="N66" s="5">
        <f t="shared" si="5"/>
        <v>17.02</v>
      </c>
      <c r="O66" s="2">
        <v>233</v>
      </c>
      <c r="P66" s="4" t="s">
        <v>105</v>
      </c>
      <c r="Q66">
        <v>14</v>
      </c>
      <c r="R66">
        <v>22</v>
      </c>
      <c r="S66">
        <v>20</v>
      </c>
      <c r="T66">
        <v>41</v>
      </c>
      <c r="U66">
        <v>65</v>
      </c>
      <c r="V66">
        <v>64.2</v>
      </c>
      <c r="W66" t="s">
        <v>35</v>
      </c>
      <c r="X66" t="s">
        <v>34</v>
      </c>
      <c r="Y66" t="s">
        <v>34</v>
      </c>
      <c r="Z66" t="s">
        <v>106</v>
      </c>
      <c r="AA66">
        <v>-43.7</v>
      </c>
      <c r="AB66">
        <v>170.2</v>
      </c>
      <c r="AC66" t="s">
        <v>126</v>
      </c>
    </row>
    <row r="67" spans="1:29" x14ac:dyDescent="0.35">
      <c r="A67" s="2" t="s">
        <v>197</v>
      </c>
      <c r="B67" s="2">
        <v>2</v>
      </c>
      <c r="C67" s="2">
        <v>23</v>
      </c>
      <c r="D67" s="2" t="s">
        <v>198</v>
      </c>
      <c r="E67" s="2">
        <v>1</v>
      </c>
      <c r="F67" s="2" t="s">
        <v>31</v>
      </c>
      <c r="G67" s="2">
        <v>2367</v>
      </c>
      <c r="H67" s="4" t="s">
        <v>199</v>
      </c>
      <c r="I67" s="2" t="str">
        <f t="shared" si="7"/>
        <v>2.23.1</v>
      </c>
      <c r="J67" s="5">
        <f t="shared" ref="J67:J130" si="8">T67/10</f>
        <v>5.2200000000000006</v>
      </c>
      <c r="K67" s="5">
        <f t="shared" ref="K67:K130" si="9">U67/10</f>
        <v>7.01</v>
      </c>
      <c r="L67" s="5">
        <f t="shared" ref="L67:L130" si="10">V67/10</f>
        <v>5.4700000000000006</v>
      </c>
      <c r="M67" s="5">
        <f t="shared" ref="M67:M130" si="11">AA67/100</f>
        <v>-0.41</v>
      </c>
      <c r="N67" s="5">
        <f t="shared" ref="N67:N130" si="12">SUM(J67:L67)</f>
        <v>17.700000000000003</v>
      </c>
      <c r="O67" s="2">
        <v>232</v>
      </c>
      <c r="P67" s="4" t="s">
        <v>61</v>
      </c>
      <c r="Q67">
        <v>22</v>
      </c>
      <c r="R67">
        <v>28</v>
      </c>
      <c r="S67">
        <v>13</v>
      </c>
      <c r="T67">
        <v>52.2</v>
      </c>
      <c r="U67">
        <v>70.099999999999994</v>
      </c>
      <c r="V67">
        <v>54.7</v>
      </c>
      <c r="W67" t="s">
        <v>35</v>
      </c>
      <c r="X67" t="s">
        <v>34</v>
      </c>
      <c r="Y67" t="s">
        <v>35</v>
      </c>
      <c r="Z67" t="s">
        <v>106</v>
      </c>
      <c r="AA67">
        <v>-41</v>
      </c>
      <c r="AB67">
        <v>177</v>
      </c>
      <c r="AC67" t="s">
        <v>126</v>
      </c>
    </row>
    <row r="68" spans="1:29" x14ac:dyDescent="0.35">
      <c r="A68" s="2" t="s">
        <v>200</v>
      </c>
      <c r="B68" s="2">
        <v>2</v>
      </c>
      <c r="C68" s="2">
        <v>23</v>
      </c>
      <c r="D68" s="2" t="s">
        <v>198</v>
      </c>
      <c r="E68" s="2">
        <v>2</v>
      </c>
      <c r="F68" s="2" t="s">
        <v>47</v>
      </c>
      <c r="G68" s="2">
        <v>1454</v>
      </c>
      <c r="H68" s="4" t="s">
        <v>201</v>
      </c>
      <c r="I68" s="2" t="str">
        <f t="shared" si="7"/>
        <v>2.23.2</v>
      </c>
      <c r="J68" s="5">
        <f t="shared" si="8"/>
        <v>4.8</v>
      </c>
      <c r="K68" s="5">
        <f t="shared" si="9"/>
        <v>6.69</v>
      </c>
      <c r="L68" s="5">
        <f t="shared" si="10"/>
        <v>4.59</v>
      </c>
      <c r="M68" s="5">
        <f t="shared" si="11"/>
        <v>-0.27500000000000002</v>
      </c>
      <c r="N68" s="5">
        <f t="shared" si="12"/>
        <v>16.079999999999998</v>
      </c>
      <c r="O68" s="2">
        <v>232</v>
      </c>
      <c r="P68" s="4" t="s">
        <v>61</v>
      </c>
      <c r="Q68">
        <v>19</v>
      </c>
      <c r="R68">
        <v>23</v>
      </c>
      <c r="S68">
        <v>8</v>
      </c>
      <c r="T68">
        <v>48</v>
      </c>
      <c r="U68">
        <v>66.900000000000006</v>
      </c>
      <c r="V68">
        <v>45.9</v>
      </c>
      <c r="W68" t="s">
        <v>35</v>
      </c>
      <c r="X68" t="s">
        <v>34</v>
      </c>
      <c r="Y68" t="s">
        <v>35</v>
      </c>
      <c r="Z68" t="s">
        <v>62</v>
      </c>
      <c r="AA68">
        <v>-27.5</v>
      </c>
      <c r="AB68">
        <v>160.80000000000001</v>
      </c>
      <c r="AC68" t="s">
        <v>126</v>
      </c>
    </row>
    <row r="69" spans="1:29" x14ac:dyDescent="0.35">
      <c r="A69" s="2" t="s">
        <v>202</v>
      </c>
      <c r="B69" s="2">
        <v>2</v>
      </c>
      <c r="C69" s="2">
        <v>24</v>
      </c>
      <c r="D69" s="2" t="s">
        <v>203</v>
      </c>
      <c r="E69" s="2">
        <v>1</v>
      </c>
      <c r="F69" s="2" t="s">
        <v>31</v>
      </c>
      <c r="G69" s="2">
        <v>1495</v>
      </c>
      <c r="H69" s="4" t="s">
        <v>204</v>
      </c>
      <c r="I69" s="2" t="str">
        <f t="shared" si="7"/>
        <v>2.24.1</v>
      </c>
      <c r="J69" s="5">
        <f t="shared" si="8"/>
        <v>6.35</v>
      </c>
      <c r="K69" s="5">
        <f t="shared" si="9"/>
        <v>6.92</v>
      </c>
      <c r="L69" s="5">
        <f t="shared" si="10"/>
        <v>7.0200000000000005</v>
      </c>
      <c r="M69" s="5">
        <f t="shared" si="11"/>
        <v>-0.70200000000000007</v>
      </c>
      <c r="N69" s="5">
        <f t="shared" si="12"/>
        <v>20.29</v>
      </c>
      <c r="O69" s="2">
        <v>333</v>
      </c>
      <c r="P69" s="4" t="s">
        <v>83</v>
      </c>
      <c r="Q69">
        <v>38</v>
      </c>
      <c r="R69">
        <v>27</v>
      </c>
      <c r="S69">
        <v>38</v>
      </c>
      <c r="T69">
        <v>63.5</v>
      </c>
      <c r="U69">
        <v>69.2</v>
      </c>
      <c r="V69">
        <v>70.2</v>
      </c>
      <c r="W69" t="s">
        <v>34</v>
      </c>
      <c r="X69" t="s">
        <v>34</v>
      </c>
      <c r="Y69" t="s">
        <v>34</v>
      </c>
      <c r="Z69" t="s">
        <v>106</v>
      </c>
      <c r="AA69">
        <v>-70.2</v>
      </c>
      <c r="AB69">
        <v>202.9</v>
      </c>
      <c r="AC69" t="s">
        <v>126</v>
      </c>
    </row>
    <row r="70" spans="1:29" x14ac:dyDescent="0.35">
      <c r="A70" s="2" t="s">
        <v>205</v>
      </c>
      <c r="B70" s="2">
        <v>2</v>
      </c>
      <c r="C70" s="2">
        <v>24</v>
      </c>
      <c r="D70" s="2" t="s">
        <v>203</v>
      </c>
      <c r="E70" s="2">
        <v>2</v>
      </c>
      <c r="F70" s="2" t="s">
        <v>47</v>
      </c>
      <c r="G70" s="2">
        <v>2134</v>
      </c>
      <c r="H70" s="4" t="s">
        <v>206</v>
      </c>
      <c r="I70" s="2" t="str">
        <f t="shared" si="7"/>
        <v>2.24.2</v>
      </c>
      <c r="J70" s="5">
        <f t="shared" si="8"/>
        <v>7.81</v>
      </c>
      <c r="K70" s="5">
        <f t="shared" si="9"/>
        <v>7.25</v>
      </c>
      <c r="L70" s="5">
        <f t="shared" si="10"/>
        <v>7.9799999999999995</v>
      </c>
      <c r="M70" s="5">
        <f t="shared" si="11"/>
        <v>-0.79799999999999993</v>
      </c>
      <c r="N70" s="5">
        <f t="shared" si="12"/>
        <v>23.04</v>
      </c>
      <c r="O70" s="2">
        <v>333</v>
      </c>
      <c r="P70" s="4" t="s">
        <v>83</v>
      </c>
      <c r="Q70">
        <v>41</v>
      </c>
      <c r="R70">
        <v>30</v>
      </c>
      <c r="S70">
        <v>52</v>
      </c>
      <c r="T70">
        <v>78.099999999999994</v>
      </c>
      <c r="U70">
        <v>72.5</v>
      </c>
      <c r="V70">
        <v>79.8</v>
      </c>
      <c r="W70" t="s">
        <v>34</v>
      </c>
      <c r="X70" t="s">
        <v>34</v>
      </c>
      <c r="Y70" t="s">
        <v>34</v>
      </c>
      <c r="Z70" t="s">
        <v>106</v>
      </c>
      <c r="AA70">
        <v>-79.8</v>
      </c>
      <c r="AB70">
        <v>230.4</v>
      </c>
      <c r="AC70" t="s">
        <v>126</v>
      </c>
    </row>
    <row r="71" spans="1:29" x14ac:dyDescent="0.35">
      <c r="A71" s="2" t="s">
        <v>207</v>
      </c>
      <c r="B71" s="2">
        <v>2</v>
      </c>
      <c r="C71" s="2">
        <v>25</v>
      </c>
      <c r="D71" s="2" t="s">
        <v>208</v>
      </c>
      <c r="E71" s="2">
        <v>1</v>
      </c>
      <c r="F71" s="2" t="s">
        <v>31</v>
      </c>
      <c r="G71" s="2">
        <v>700</v>
      </c>
      <c r="H71" s="4" t="s">
        <v>209</v>
      </c>
      <c r="I71" s="2" t="str">
        <f t="shared" si="7"/>
        <v>2.25.1</v>
      </c>
      <c r="J71" s="5">
        <f t="shared" si="8"/>
        <v>4.8</v>
      </c>
      <c r="K71" s="5">
        <f t="shared" si="9"/>
        <v>6.1899999999999995</v>
      </c>
      <c r="L71" s="5">
        <f t="shared" si="10"/>
        <v>5.95</v>
      </c>
      <c r="M71" s="5">
        <f t="shared" si="11"/>
        <v>-0.58299999999999996</v>
      </c>
      <c r="N71" s="5">
        <f t="shared" si="12"/>
        <v>16.939999999999998</v>
      </c>
      <c r="O71" s="2">
        <v>232</v>
      </c>
      <c r="P71" s="4" t="s">
        <v>61</v>
      </c>
      <c r="Q71">
        <v>19</v>
      </c>
      <c r="R71">
        <v>20</v>
      </c>
      <c r="S71">
        <v>17</v>
      </c>
      <c r="T71">
        <v>48</v>
      </c>
      <c r="U71">
        <v>61.9</v>
      </c>
      <c r="V71">
        <v>59.5</v>
      </c>
      <c r="W71" t="s">
        <v>35</v>
      </c>
      <c r="X71" t="s">
        <v>34</v>
      </c>
      <c r="Y71" t="s">
        <v>35</v>
      </c>
      <c r="Z71" t="s">
        <v>106</v>
      </c>
      <c r="AA71">
        <v>-58.3</v>
      </c>
      <c r="AB71">
        <v>169.4</v>
      </c>
      <c r="AC71" t="s">
        <v>126</v>
      </c>
    </row>
    <row r="72" spans="1:29" x14ac:dyDescent="0.35">
      <c r="A72" s="2" t="s">
        <v>210</v>
      </c>
      <c r="B72" s="2">
        <v>2</v>
      </c>
      <c r="C72" s="2">
        <v>25</v>
      </c>
      <c r="D72" s="2" t="s">
        <v>208</v>
      </c>
      <c r="E72" s="2">
        <v>2</v>
      </c>
      <c r="F72" s="2" t="s">
        <v>47</v>
      </c>
      <c r="G72" s="2">
        <v>1718</v>
      </c>
      <c r="H72" s="4" t="s">
        <v>211</v>
      </c>
      <c r="I72" s="2" t="str">
        <f t="shared" si="7"/>
        <v>2.25.2</v>
      </c>
      <c r="J72" s="5">
        <f t="shared" si="8"/>
        <v>6.35</v>
      </c>
      <c r="K72" s="5">
        <f t="shared" si="9"/>
        <v>7.56</v>
      </c>
      <c r="L72" s="5">
        <f t="shared" si="10"/>
        <v>7.12</v>
      </c>
      <c r="M72" s="5">
        <f t="shared" si="11"/>
        <v>-0.71200000000000008</v>
      </c>
      <c r="N72" s="5">
        <f t="shared" si="12"/>
        <v>21.03</v>
      </c>
      <c r="O72" s="2">
        <v>333</v>
      </c>
      <c r="P72" s="4" t="s">
        <v>83</v>
      </c>
      <c r="Q72">
        <v>38</v>
      </c>
      <c r="R72">
        <v>40</v>
      </c>
      <c r="S72">
        <v>43</v>
      </c>
      <c r="T72">
        <v>63.5</v>
      </c>
      <c r="U72">
        <v>75.599999999999994</v>
      </c>
      <c r="V72">
        <v>71.2</v>
      </c>
      <c r="W72" t="s">
        <v>34</v>
      </c>
      <c r="X72" t="s">
        <v>34</v>
      </c>
      <c r="Y72" t="s">
        <v>34</v>
      </c>
      <c r="Z72" t="s">
        <v>106</v>
      </c>
      <c r="AA72">
        <v>-71.2</v>
      </c>
      <c r="AB72">
        <v>210.3</v>
      </c>
      <c r="AC72" t="s">
        <v>126</v>
      </c>
    </row>
    <row r="73" spans="1:29" x14ac:dyDescent="0.35">
      <c r="A73" s="2" t="s">
        <v>212</v>
      </c>
      <c r="B73" s="2">
        <v>3</v>
      </c>
      <c r="C73" s="2">
        <v>26</v>
      </c>
      <c r="D73" s="2" t="s">
        <v>213</v>
      </c>
      <c r="E73" s="2">
        <v>1</v>
      </c>
      <c r="F73" s="2" t="s">
        <v>31</v>
      </c>
      <c r="G73" s="2">
        <v>1003</v>
      </c>
      <c r="H73" s="4" t="s">
        <v>214</v>
      </c>
      <c r="I73" s="2" t="str">
        <f t="shared" si="7"/>
        <v>3.26.1</v>
      </c>
      <c r="J73" s="5">
        <f t="shared" si="8"/>
        <v>4</v>
      </c>
      <c r="K73" s="5">
        <f t="shared" si="9"/>
        <v>5.49</v>
      </c>
      <c r="L73" s="5">
        <f t="shared" si="10"/>
        <v>6.35</v>
      </c>
      <c r="M73" s="5">
        <f t="shared" si="11"/>
        <v>-0.254</v>
      </c>
      <c r="N73" s="5">
        <f t="shared" si="12"/>
        <v>15.84</v>
      </c>
      <c r="O73" s="2">
        <v>223</v>
      </c>
      <c r="P73" s="4" t="s">
        <v>42</v>
      </c>
      <c r="Q73">
        <v>12</v>
      </c>
      <c r="R73">
        <v>13</v>
      </c>
      <c r="S73">
        <v>13</v>
      </c>
      <c r="T73">
        <v>40</v>
      </c>
      <c r="U73">
        <v>54.9</v>
      </c>
      <c r="V73">
        <v>63.5</v>
      </c>
      <c r="W73" t="s">
        <v>35</v>
      </c>
      <c r="X73" t="s">
        <v>35</v>
      </c>
      <c r="Y73" t="s">
        <v>34</v>
      </c>
      <c r="Z73" t="s">
        <v>62</v>
      </c>
      <c r="AA73">
        <v>-25.4</v>
      </c>
      <c r="AB73">
        <v>158.4</v>
      </c>
      <c r="AC73" t="s">
        <v>215</v>
      </c>
    </row>
    <row r="74" spans="1:29" x14ac:dyDescent="0.35">
      <c r="A74" s="2" t="s">
        <v>216</v>
      </c>
      <c r="B74" s="2">
        <v>3</v>
      </c>
      <c r="C74" s="2">
        <v>26</v>
      </c>
      <c r="D74" s="2" t="s">
        <v>213</v>
      </c>
      <c r="E74" s="2">
        <v>2</v>
      </c>
      <c r="F74" s="2" t="s">
        <v>31</v>
      </c>
      <c r="G74" s="2">
        <v>1084</v>
      </c>
      <c r="H74" s="4" t="s">
        <v>217</v>
      </c>
      <c r="I74" s="2" t="str">
        <f t="shared" si="7"/>
        <v>3.26.2</v>
      </c>
      <c r="J74" s="5">
        <f t="shared" si="8"/>
        <v>7.01</v>
      </c>
      <c r="K74" s="5">
        <f t="shared" si="9"/>
        <v>6.8</v>
      </c>
      <c r="L74" s="5">
        <f t="shared" si="10"/>
        <v>7.07</v>
      </c>
      <c r="M74" s="5">
        <f t="shared" si="11"/>
        <v>-0.41</v>
      </c>
      <c r="N74" s="5">
        <f t="shared" si="12"/>
        <v>20.88</v>
      </c>
      <c r="O74" s="2">
        <v>333</v>
      </c>
      <c r="P74" s="4" t="s">
        <v>83</v>
      </c>
      <c r="Q74">
        <v>30.5</v>
      </c>
      <c r="R74">
        <v>19</v>
      </c>
      <c r="S74">
        <v>19</v>
      </c>
      <c r="T74">
        <v>70.099999999999994</v>
      </c>
      <c r="U74">
        <v>68</v>
      </c>
      <c r="V74">
        <v>70.7</v>
      </c>
      <c r="W74" t="s">
        <v>34</v>
      </c>
      <c r="X74" t="s">
        <v>34</v>
      </c>
      <c r="Y74" t="s">
        <v>34</v>
      </c>
      <c r="Z74" t="s">
        <v>62</v>
      </c>
      <c r="AA74">
        <v>-41</v>
      </c>
      <c r="AB74">
        <v>208.8</v>
      </c>
      <c r="AC74" t="s">
        <v>215</v>
      </c>
    </row>
    <row r="75" spans="1:29" x14ac:dyDescent="0.35">
      <c r="A75" s="2" t="s">
        <v>218</v>
      </c>
      <c r="B75" s="2">
        <v>3</v>
      </c>
      <c r="C75" s="2">
        <v>26</v>
      </c>
      <c r="D75" s="2" t="s">
        <v>213</v>
      </c>
      <c r="E75" s="2">
        <v>3</v>
      </c>
      <c r="F75" s="2" t="s">
        <v>31</v>
      </c>
      <c r="G75" s="2">
        <v>1529</v>
      </c>
      <c r="H75" s="4" t="s">
        <v>219</v>
      </c>
      <c r="I75" s="2" t="str">
        <f t="shared" si="7"/>
        <v>3.26.3</v>
      </c>
      <c r="J75" s="5">
        <f t="shared" si="8"/>
        <v>8.5599999999999987</v>
      </c>
      <c r="K75" s="5">
        <f t="shared" si="9"/>
        <v>7.37</v>
      </c>
      <c r="L75" s="5">
        <f t="shared" si="10"/>
        <v>7.5</v>
      </c>
      <c r="M75" s="5">
        <f t="shared" si="11"/>
        <v>-0.23199999999999998</v>
      </c>
      <c r="N75" s="5">
        <f t="shared" si="12"/>
        <v>23.43</v>
      </c>
      <c r="O75" s="2">
        <v>333</v>
      </c>
      <c r="P75" s="4" t="s">
        <v>83</v>
      </c>
      <c r="Q75">
        <v>48</v>
      </c>
      <c r="R75">
        <v>25</v>
      </c>
      <c r="S75">
        <v>22</v>
      </c>
      <c r="T75">
        <v>85.6</v>
      </c>
      <c r="U75">
        <v>73.7</v>
      </c>
      <c r="V75">
        <v>75</v>
      </c>
      <c r="W75" t="s">
        <v>34</v>
      </c>
      <c r="X75" t="s">
        <v>34</v>
      </c>
      <c r="Y75" t="s">
        <v>34</v>
      </c>
      <c r="Z75" t="s">
        <v>62</v>
      </c>
      <c r="AA75">
        <v>-23.2</v>
      </c>
      <c r="AB75">
        <v>234.3</v>
      </c>
      <c r="AC75" t="s">
        <v>215</v>
      </c>
    </row>
    <row r="76" spans="1:29" x14ac:dyDescent="0.35">
      <c r="A76" s="2" t="s">
        <v>220</v>
      </c>
      <c r="B76" s="2">
        <v>3</v>
      </c>
      <c r="C76" s="2">
        <v>27</v>
      </c>
      <c r="D76" s="2" t="s">
        <v>221</v>
      </c>
      <c r="E76" s="2">
        <v>1</v>
      </c>
      <c r="F76" s="2" t="s">
        <v>47</v>
      </c>
      <c r="G76" s="2">
        <v>1921</v>
      </c>
      <c r="H76" s="4" t="s">
        <v>222</v>
      </c>
      <c r="I76" s="2" t="str">
        <f t="shared" si="7"/>
        <v>3.27.1</v>
      </c>
      <c r="J76" s="5">
        <f t="shared" si="8"/>
        <v>4.6399999999999997</v>
      </c>
      <c r="K76" s="5">
        <f t="shared" si="9"/>
        <v>6.6099999999999994</v>
      </c>
      <c r="L76" s="5">
        <f t="shared" si="10"/>
        <v>5.55</v>
      </c>
      <c r="M76" s="5">
        <f t="shared" si="11"/>
        <v>-0.27800000000000002</v>
      </c>
      <c r="N76" s="5">
        <f t="shared" si="12"/>
        <v>16.8</v>
      </c>
      <c r="O76" s="2">
        <v>232</v>
      </c>
      <c r="P76" s="4" t="s">
        <v>61</v>
      </c>
      <c r="Q76">
        <v>14</v>
      </c>
      <c r="R76">
        <v>18</v>
      </c>
      <c r="S76">
        <v>10</v>
      </c>
      <c r="T76">
        <v>46.4</v>
      </c>
      <c r="U76">
        <v>66.099999999999994</v>
      </c>
      <c r="V76">
        <v>55.5</v>
      </c>
      <c r="W76" t="s">
        <v>35</v>
      </c>
      <c r="X76" t="s">
        <v>34</v>
      </c>
      <c r="Y76" t="s">
        <v>35</v>
      </c>
      <c r="Z76" t="s">
        <v>62</v>
      </c>
      <c r="AA76">
        <v>-27.8</v>
      </c>
      <c r="AB76">
        <v>168</v>
      </c>
      <c r="AC76" t="s">
        <v>215</v>
      </c>
    </row>
    <row r="77" spans="1:29" x14ac:dyDescent="0.35">
      <c r="A77" s="2" t="s">
        <v>223</v>
      </c>
      <c r="B77" s="2">
        <v>3</v>
      </c>
      <c r="C77" s="2">
        <v>27</v>
      </c>
      <c r="D77" s="2" t="s">
        <v>221</v>
      </c>
      <c r="E77" s="2">
        <v>2</v>
      </c>
      <c r="F77" s="2" t="s">
        <v>47</v>
      </c>
      <c r="G77" s="2">
        <v>1528</v>
      </c>
      <c r="H77" s="4" t="s">
        <v>224</v>
      </c>
      <c r="I77" s="2" t="str">
        <f t="shared" si="7"/>
        <v>3.27.2</v>
      </c>
      <c r="J77" s="5">
        <f t="shared" si="8"/>
        <v>7.87</v>
      </c>
      <c r="K77" s="5">
        <f t="shared" si="9"/>
        <v>8.39</v>
      </c>
      <c r="L77" s="5">
        <f t="shared" si="10"/>
        <v>5.96</v>
      </c>
      <c r="M77" s="5">
        <f t="shared" si="11"/>
        <v>-0.41700000000000004</v>
      </c>
      <c r="N77" s="5">
        <f t="shared" si="12"/>
        <v>22.220000000000002</v>
      </c>
      <c r="O77" s="2">
        <v>332</v>
      </c>
      <c r="P77" s="4" t="s">
        <v>225</v>
      </c>
      <c r="Q77">
        <v>37.5</v>
      </c>
      <c r="R77">
        <v>33</v>
      </c>
      <c r="S77">
        <v>12</v>
      </c>
      <c r="T77">
        <v>78.7</v>
      </c>
      <c r="U77">
        <v>83.9</v>
      </c>
      <c r="V77">
        <v>59.6</v>
      </c>
      <c r="W77" t="s">
        <v>34</v>
      </c>
      <c r="X77" t="s">
        <v>34</v>
      </c>
      <c r="Y77" t="s">
        <v>35</v>
      </c>
      <c r="Z77" t="s">
        <v>106</v>
      </c>
      <c r="AA77">
        <v>-41.7</v>
      </c>
      <c r="AB77">
        <v>222.2</v>
      </c>
      <c r="AC77" t="s">
        <v>215</v>
      </c>
    </row>
    <row r="78" spans="1:29" x14ac:dyDescent="0.35">
      <c r="A78" s="2" t="s">
        <v>226</v>
      </c>
      <c r="B78" s="2">
        <v>3</v>
      </c>
      <c r="C78" s="2">
        <v>27</v>
      </c>
      <c r="D78" s="2" t="s">
        <v>221</v>
      </c>
      <c r="E78" s="2">
        <v>3</v>
      </c>
      <c r="F78" s="2" t="s">
        <v>47</v>
      </c>
      <c r="G78" s="2">
        <v>853</v>
      </c>
      <c r="H78" s="4" t="s">
        <v>227</v>
      </c>
      <c r="I78" s="2" t="str">
        <f t="shared" si="7"/>
        <v>3.27.3</v>
      </c>
      <c r="J78" s="5">
        <f t="shared" si="8"/>
        <v>7.35</v>
      </c>
      <c r="K78" s="5">
        <f t="shared" si="9"/>
        <v>7.62</v>
      </c>
      <c r="L78" s="5">
        <f t="shared" si="10"/>
        <v>7.85</v>
      </c>
      <c r="M78" s="5">
        <f t="shared" si="11"/>
        <v>-0.61199999999999999</v>
      </c>
      <c r="N78" s="5">
        <f t="shared" si="12"/>
        <v>22.82</v>
      </c>
      <c r="O78" s="2">
        <v>333</v>
      </c>
      <c r="P78" s="4" t="s">
        <v>83</v>
      </c>
      <c r="Q78">
        <v>34</v>
      </c>
      <c r="R78">
        <v>26</v>
      </c>
      <c r="S78">
        <v>23</v>
      </c>
      <c r="T78">
        <v>73.5</v>
      </c>
      <c r="U78">
        <v>76.2</v>
      </c>
      <c r="V78">
        <v>78.5</v>
      </c>
      <c r="W78" t="s">
        <v>34</v>
      </c>
      <c r="X78" t="s">
        <v>34</v>
      </c>
      <c r="Y78" t="s">
        <v>34</v>
      </c>
      <c r="Z78" t="s">
        <v>106</v>
      </c>
      <c r="AA78">
        <v>-61.2</v>
      </c>
      <c r="AB78">
        <v>228.2</v>
      </c>
      <c r="AC78" t="s">
        <v>215</v>
      </c>
    </row>
    <row r="79" spans="1:29" x14ac:dyDescent="0.35">
      <c r="A79" s="2" t="s">
        <v>228</v>
      </c>
      <c r="B79" s="2">
        <v>3</v>
      </c>
      <c r="C79" s="2">
        <v>28</v>
      </c>
      <c r="D79" s="2" t="s">
        <v>229</v>
      </c>
      <c r="E79" s="2">
        <v>1</v>
      </c>
      <c r="F79" s="2" t="s">
        <v>31</v>
      </c>
      <c r="G79" s="2">
        <v>1334</v>
      </c>
      <c r="H79" s="4" t="s">
        <v>230</v>
      </c>
      <c r="I79" s="2" t="str">
        <f t="shared" si="7"/>
        <v>3.28.1</v>
      </c>
      <c r="J79" s="5">
        <f t="shared" si="8"/>
        <v>5.2700000000000005</v>
      </c>
      <c r="K79" s="5">
        <f t="shared" si="9"/>
        <v>8.39</v>
      </c>
      <c r="L79" s="5">
        <f t="shared" si="10"/>
        <v>7.25</v>
      </c>
      <c r="M79" s="5">
        <f t="shared" si="11"/>
        <v>-0.60899999999999999</v>
      </c>
      <c r="N79" s="5">
        <f t="shared" si="12"/>
        <v>20.91</v>
      </c>
      <c r="O79" s="2">
        <v>233</v>
      </c>
      <c r="P79" s="4" t="s">
        <v>105</v>
      </c>
      <c r="Q79">
        <v>17</v>
      </c>
      <c r="R79">
        <v>33</v>
      </c>
      <c r="S79">
        <v>21</v>
      </c>
      <c r="T79">
        <v>52.7</v>
      </c>
      <c r="U79">
        <v>83.9</v>
      </c>
      <c r="V79">
        <v>72.5</v>
      </c>
      <c r="W79" t="s">
        <v>35</v>
      </c>
      <c r="X79" t="s">
        <v>34</v>
      </c>
      <c r="Y79" t="s">
        <v>34</v>
      </c>
      <c r="Z79" t="s">
        <v>106</v>
      </c>
      <c r="AA79">
        <v>-60.9</v>
      </c>
      <c r="AB79">
        <v>209.1</v>
      </c>
      <c r="AC79" t="s">
        <v>215</v>
      </c>
    </row>
    <row r="80" spans="1:29" x14ac:dyDescent="0.35">
      <c r="A80" s="2" t="s">
        <v>231</v>
      </c>
      <c r="B80" s="2">
        <v>3</v>
      </c>
      <c r="C80" s="2">
        <v>28</v>
      </c>
      <c r="D80" s="2" t="s">
        <v>229</v>
      </c>
      <c r="E80" s="2">
        <v>2</v>
      </c>
      <c r="F80" s="2" t="s">
        <v>31</v>
      </c>
      <c r="G80" s="2">
        <v>1219</v>
      </c>
      <c r="H80" s="4" t="s">
        <v>232</v>
      </c>
      <c r="I80" s="2" t="str">
        <f t="shared" si="7"/>
        <v>3.28.2</v>
      </c>
      <c r="J80" s="5">
        <f t="shared" si="8"/>
        <v>5.42</v>
      </c>
      <c r="K80" s="5">
        <f t="shared" si="9"/>
        <v>6.1899999999999995</v>
      </c>
      <c r="L80" s="5">
        <f t="shared" si="10"/>
        <v>7.5</v>
      </c>
      <c r="M80" s="5">
        <f t="shared" si="11"/>
        <v>-0.42</v>
      </c>
      <c r="N80" s="5">
        <f t="shared" si="12"/>
        <v>19.11</v>
      </c>
      <c r="O80" s="2">
        <v>233</v>
      </c>
      <c r="P80" s="4" t="s">
        <v>105</v>
      </c>
      <c r="Q80">
        <v>17.5</v>
      </c>
      <c r="R80">
        <v>16</v>
      </c>
      <c r="S80">
        <v>22</v>
      </c>
      <c r="T80">
        <v>54.2</v>
      </c>
      <c r="U80">
        <v>61.9</v>
      </c>
      <c r="V80">
        <v>75</v>
      </c>
      <c r="W80" t="s">
        <v>35</v>
      </c>
      <c r="X80" t="s">
        <v>34</v>
      </c>
      <c r="Y80" t="s">
        <v>34</v>
      </c>
      <c r="Z80" t="s">
        <v>62</v>
      </c>
      <c r="AA80">
        <v>-42</v>
      </c>
      <c r="AB80">
        <v>191.1</v>
      </c>
      <c r="AC80" t="s">
        <v>215</v>
      </c>
    </row>
    <row r="81" spans="1:29" x14ac:dyDescent="0.35">
      <c r="A81" s="2" t="s">
        <v>233</v>
      </c>
      <c r="B81" s="2">
        <v>3</v>
      </c>
      <c r="C81" s="2">
        <v>28</v>
      </c>
      <c r="D81" s="2" t="s">
        <v>229</v>
      </c>
      <c r="E81" s="2">
        <v>3</v>
      </c>
      <c r="F81" s="2" t="s">
        <v>31</v>
      </c>
      <c r="G81" s="2">
        <v>597</v>
      </c>
      <c r="H81" s="4" t="s">
        <v>234</v>
      </c>
      <c r="I81" s="2" t="str">
        <f t="shared" si="7"/>
        <v>3.28.3</v>
      </c>
      <c r="J81" s="5">
        <f t="shared" si="8"/>
        <v>6.09</v>
      </c>
      <c r="K81" s="5">
        <f t="shared" si="9"/>
        <v>6.0299999999999994</v>
      </c>
      <c r="L81" s="5">
        <f t="shared" si="10"/>
        <v>6.63</v>
      </c>
      <c r="M81" s="5">
        <f t="shared" si="11"/>
        <v>-0.504</v>
      </c>
      <c r="N81" s="5">
        <f t="shared" si="12"/>
        <v>18.75</v>
      </c>
      <c r="O81" s="2">
        <v>333</v>
      </c>
      <c r="P81" s="4" t="s">
        <v>83</v>
      </c>
      <c r="Q81">
        <v>21</v>
      </c>
      <c r="R81">
        <v>15</v>
      </c>
      <c r="S81">
        <v>14</v>
      </c>
      <c r="T81">
        <v>60.9</v>
      </c>
      <c r="U81">
        <v>60.3</v>
      </c>
      <c r="V81">
        <v>66.3</v>
      </c>
      <c r="W81" t="s">
        <v>34</v>
      </c>
      <c r="X81" t="s">
        <v>34</v>
      </c>
      <c r="Y81" t="s">
        <v>34</v>
      </c>
      <c r="Z81" t="s">
        <v>106</v>
      </c>
      <c r="AA81">
        <v>-50.4</v>
      </c>
      <c r="AB81">
        <v>187.5</v>
      </c>
      <c r="AC81" t="s">
        <v>215</v>
      </c>
    </row>
    <row r="82" spans="1:29" x14ac:dyDescent="0.35">
      <c r="A82" s="2" t="s">
        <v>235</v>
      </c>
      <c r="B82" s="2">
        <v>3</v>
      </c>
      <c r="C82" s="2">
        <v>29</v>
      </c>
      <c r="D82" s="2" t="s">
        <v>236</v>
      </c>
      <c r="E82" s="2">
        <v>1</v>
      </c>
      <c r="F82" s="2" t="s">
        <v>47</v>
      </c>
      <c r="G82" s="2">
        <v>951</v>
      </c>
      <c r="H82" s="4" t="s">
        <v>237</v>
      </c>
      <c r="I82" s="2" t="str">
        <f t="shared" si="7"/>
        <v>3.29.1</v>
      </c>
      <c r="J82" s="5">
        <f t="shared" si="8"/>
        <v>1.9</v>
      </c>
      <c r="K82" s="5">
        <f t="shared" si="9"/>
        <v>5.14</v>
      </c>
      <c r="L82" s="5">
        <f t="shared" si="10"/>
        <v>6.95</v>
      </c>
      <c r="M82" s="5">
        <f t="shared" si="11"/>
        <v>-0.52800000000000002</v>
      </c>
      <c r="N82" s="5">
        <f t="shared" si="12"/>
        <v>13.989999999999998</v>
      </c>
      <c r="O82" s="2">
        <v>123</v>
      </c>
      <c r="P82" s="4" t="s">
        <v>238</v>
      </c>
      <c r="Q82">
        <v>7</v>
      </c>
      <c r="R82">
        <v>12</v>
      </c>
      <c r="S82">
        <v>18</v>
      </c>
      <c r="T82">
        <v>19</v>
      </c>
      <c r="U82">
        <v>51.4</v>
      </c>
      <c r="V82">
        <v>69.5</v>
      </c>
      <c r="W82" t="s">
        <v>50</v>
      </c>
      <c r="X82" t="s">
        <v>35</v>
      </c>
      <c r="Y82" t="s">
        <v>34</v>
      </c>
      <c r="Z82" t="s">
        <v>106</v>
      </c>
      <c r="AA82">
        <v>-52.8</v>
      </c>
      <c r="AB82">
        <v>139.9</v>
      </c>
      <c r="AC82" t="s">
        <v>215</v>
      </c>
    </row>
    <row r="83" spans="1:29" x14ac:dyDescent="0.35">
      <c r="A83" s="2" t="s">
        <v>239</v>
      </c>
      <c r="B83" s="2">
        <v>3</v>
      </c>
      <c r="C83" s="2">
        <v>29</v>
      </c>
      <c r="D83" s="2" t="s">
        <v>236</v>
      </c>
      <c r="E83" s="2">
        <v>2</v>
      </c>
      <c r="F83" s="2" t="s">
        <v>47</v>
      </c>
      <c r="G83" s="2">
        <v>898</v>
      </c>
      <c r="H83" s="4" t="s">
        <v>240</v>
      </c>
      <c r="I83" s="2" t="str">
        <f t="shared" si="7"/>
        <v>3.29.2</v>
      </c>
      <c r="J83" s="5">
        <f t="shared" si="8"/>
        <v>5.0299999999999994</v>
      </c>
      <c r="K83" s="5">
        <f t="shared" si="9"/>
        <v>7.24</v>
      </c>
      <c r="L83" s="5">
        <f t="shared" si="10"/>
        <v>6.7700000000000005</v>
      </c>
      <c r="M83" s="5">
        <f t="shared" si="11"/>
        <v>-0.52800000000000002</v>
      </c>
      <c r="N83" s="5">
        <f t="shared" si="12"/>
        <v>19.04</v>
      </c>
      <c r="O83" s="2">
        <v>233</v>
      </c>
      <c r="P83" s="4" t="s">
        <v>105</v>
      </c>
      <c r="Q83">
        <v>16.2</v>
      </c>
      <c r="R83">
        <v>23</v>
      </c>
      <c r="S83">
        <v>16</v>
      </c>
      <c r="T83">
        <v>50.3</v>
      </c>
      <c r="U83">
        <v>72.400000000000006</v>
      </c>
      <c r="V83">
        <v>67.7</v>
      </c>
      <c r="W83" t="s">
        <v>35</v>
      </c>
      <c r="X83" t="s">
        <v>34</v>
      </c>
      <c r="Y83" t="s">
        <v>34</v>
      </c>
      <c r="Z83" t="s">
        <v>106</v>
      </c>
      <c r="AA83">
        <v>-52.8</v>
      </c>
      <c r="AB83">
        <v>190.4</v>
      </c>
      <c r="AC83" t="s">
        <v>215</v>
      </c>
    </row>
    <row r="84" spans="1:29" x14ac:dyDescent="0.35">
      <c r="A84" s="2" t="s">
        <v>241</v>
      </c>
      <c r="B84" s="2">
        <v>3</v>
      </c>
      <c r="C84" s="2">
        <v>29</v>
      </c>
      <c r="D84" s="2" t="s">
        <v>236</v>
      </c>
      <c r="E84" s="2">
        <v>3</v>
      </c>
      <c r="F84" s="2" t="s">
        <v>47</v>
      </c>
      <c r="G84" s="2">
        <v>858</v>
      </c>
      <c r="H84" s="4" t="s">
        <v>240</v>
      </c>
      <c r="I84" s="2" t="str">
        <f t="shared" si="7"/>
        <v>3.29.3</v>
      </c>
      <c r="J84" s="5">
        <f t="shared" si="8"/>
        <v>5.71</v>
      </c>
      <c r="K84" s="5">
        <f t="shared" si="9"/>
        <v>7.62</v>
      </c>
      <c r="L84" s="5">
        <f t="shared" si="10"/>
        <v>6.35</v>
      </c>
      <c r="M84" s="5">
        <f t="shared" si="11"/>
        <v>-0.495</v>
      </c>
      <c r="N84" s="5">
        <f t="shared" si="12"/>
        <v>19.68</v>
      </c>
      <c r="O84" s="2">
        <v>233</v>
      </c>
      <c r="P84" s="4" t="s">
        <v>105</v>
      </c>
      <c r="Q84">
        <v>18.8</v>
      </c>
      <c r="R84">
        <v>26</v>
      </c>
      <c r="S84">
        <v>13</v>
      </c>
      <c r="T84">
        <v>57.1</v>
      </c>
      <c r="U84">
        <v>76.2</v>
      </c>
      <c r="V84">
        <v>63.5</v>
      </c>
      <c r="W84" t="s">
        <v>35</v>
      </c>
      <c r="X84" t="s">
        <v>34</v>
      </c>
      <c r="Y84" t="s">
        <v>34</v>
      </c>
      <c r="Z84" t="s">
        <v>106</v>
      </c>
      <c r="AA84">
        <v>-49.5</v>
      </c>
      <c r="AB84">
        <v>196.8</v>
      </c>
      <c r="AC84" t="s">
        <v>215</v>
      </c>
    </row>
    <row r="85" spans="1:29" x14ac:dyDescent="0.35">
      <c r="A85" s="2" t="s">
        <v>242</v>
      </c>
      <c r="B85" s="2">
        <v>3</v>
      </c>
      <c r="C85" s="2">
        <v>29</v>
      </c>
      <c r="D85" s="2" t="s">
        <v>236</v>
      </c>
      <c r="E85" s="2">
        <v>4</v>
      </c>
      <c r="F85" s="2" t="s">
        <v>31</v>
      </c>
      <c r="G85" s="2">
        <v>877</v>
      </c>
      <c r="H85" s="4" t="s">
        <v>243</v>
      </c>
      <c r="I85" s="2" t="str">
        <f t="shared" si="7"/>
        <v>3.29.4</v>
      </c>
      <c r="J85" s="5">
        <f t="shared" si="8"/>
        <v>6.5200000000000005</v>
      </c>
      <c r="K85" s="5">
        <f t="shared" si="9"/>
        <v>6.0299999999999994</v>
      </c>
      <c r="L85" s="5">
        <f t="shared" si="10"/>
        <v>4.5600000000000005</v>
      </c>
      <c r="M85" s="5">
        <f t="shared" si="11"/>
        <v>-0.35600000000000004</v>
      </c>
      <c r="N85" s="5">
        <f t="shared" si="12"/>
        <v>17.11</v>
      </c>
      <c r="O85" s="2">
        <v>332</v>
      </c>
      <c r="P85" s="4" t="s">
        <v>225</v>
      </c>
      <c r="Q85">
        <v>24</v>
      </c>
      <c r="R85">
        <v>15</v>
      </c>
      <c r="S85">
        <v>7</v>
      </c>
      <c r="T85">
        <v>65.2</v>
      </c>
      <c r="U85">
        <v>60.3</v>
      </c>
      <c r="V85">
        <v>45.6</v>
      </c>
      <c r="W85" t="s">
        <v>34</v>
      </c>
      <c r="X85" t="s">
        <v>34</v>
      </c>
      <c r="Y85" t="s">
        <v>35</v>
      </c>
      <c r="Z85" t="s">
        <v>106</v>
      </c>
      <c r="AA85">
        <v>-35.6</v>
      </c>
      <c r="AB85">
        <v>171.1</v>
      </c>
      <c r="AC85" t="s">
        <v>215</v>
      </c>
    </row>
    <row r="86" spans="1:29" x14ac:dyDescent="0.35">
      <c r="A86" s="2" t="s">
        <v>244</v>
      </c>
      <c r="B86" s="2">
        <v>3</v>
      </c>
      <c r="C86" s="2">
        <v>30</v>
      </c>
      <c r="D86" s="2" t="s">
        <v>245</v>
      </c>
      <c r="E86" s="2">
        <v>1</v>
      </c>
      <c r="F86" s="2" t="s">
        <v>47</v>
      </c>
      <c r="G86" s="2">
        <v>606</v>
      </c>
      <c r="H86" s="4" t="s">
        <v>246</v>
      </c>
      <c r="I86" s="2" t="str">
        <f t="shared" si="7"/>
        <v>3.30.1</v>
      </c>
      <c r="J86" s="5">
        <f t="shared" si="8"/>
        <v>3.62</v>
      </c>
      <c r="K86" s="5">
        <f t="shared" si="9"/>
        <v>4.5600000000000005</v>
      </c>
      <c r="L86" s="5">
        <f t="shared" si="10"/>
        <v>5.09</v>
      </c>
      <c r="M86" s="5">
        <f t="shared" si="11"/>
        <v>-0.35600000000000004</v>
      </c>
      <c r="N86" s="5">
        <f t="shared" si="12"/>
        <v>13.27</v>
      </c>
      <c r="O86" s="2">
        <v>222</v>
      </c>
      <c r="P86" s="4" t="s">
        <v>65</v>
      </c>
      <c r="Q86">
        <v>11</v>
      </c>
      <c r="R86">
        <v>11</v>
      </c>
      <c r="S86">
        <v>8</v>
      </c>
      <c r="T86">
        <v>36.200000000000003</v>
      </c>
      <c r="U86">
        <v>45.6</v>
      </c>
      <c r="V86">
        <v>50.9</v>
      </c>
      <c r="W86" t="s">
        <v>35</v>
      </c>
      <c r="X86" t="s">
        <v>35</v>
      </c>
      <c r="Y86" t="s">
        <v>35</v>
      </c>
      <c r="Z86" t="s">
        <v>106</v>
      </c>
      <c r="AA86">
        <v>-35.6</v>
      </c>
      <c r="AB86">
        <v>132.69999999999999</v>
      </c>
      <c r="AC86" t="s">
        <v>215</v>
      </c>
    </row>
    <row r="87" spans="1:29" x14ac:dyDescent="0.35">
      <c r="A87" s="2" t="s">
        <v>247</v>
      </c>
      <c r="B87" s="2">
        <v>3</v>
      </c>
      <c r="C87" s="2">
        <v>30</v>
      </c>
      <c r="D87" s="2" t="s">
        <v>245</v>
      </c>
      <c r="E87" s="2">
        <v>2</v>
      </c>
      <c r="F87" s="2" t="s">
        <v>31</v>
      </c>
      <c r="G87" s="2">
        <v>625</v>
      </c>
      <c r="H87" s="4" t="s">
        <v>248</v>
      </c>
      <c r="I87" s="2" t="str">
        <f t="shared" si="7"/>
        <v>3.30.2</v>
      </c>
      <c r="J87" s="5">
        <f t="shared" si="8"/>
        <v>4.42</v>
      </c>
      <c r="K87" s="5">
        <f t="shared" si="9"/>
        <v>5.8</v>
      </c>
      <c r="L87" s="5">
        <f t="shared" si="10"/>
        <v>6.7</v>
      </c>
      <c r="M87" s="5">
        <f t="shared" si="11"/>
        <v>-0.46899999999999997</v>
      </c>
      <c r="N87" s="5">
        <f t="shared" si="12"/>
        <v>16.919999999999998</v>
      </c>
      <c r="O87" s="2">
        <v>223</v>
      </c>
      <c r="P87" s="4" t="s">
        <v>42</v>
      </c>
      <c r="Q87">
        <v>13.7</v>
      </c>
      <c r="R87">
        <v>14</v>
      </c>
      <c r="S87">
        <v>15</v>
      </c>
      <c r="T87">
        <v>44.2</v>
      </c>
      <c r="U87">
        <v>58</v>
      </c>
      <c r="V87">
        <v>67</v>
      </c>
      <c r="W87" t="s">
        <v>35</v>
      </c>
      <c r="X87" t="s">
        <v>35</v>
      </c>
      <c r="Y87" t="s">
        <v>34</v>
      </c>
      <c r="Z87" t="s">
        <v>106</v>
      </c>
      <c r="AA87">
        <v>-46.9</v>
      </c>
      <c r="AB87">
        <v>169.2</v>
      </c>
      <c r="AC87" t="s">
        <v>215</v>
      </c>
    </row>
    <row r="88" spans="1:29" x14ac:dyDescent="0.35">
      <c r="A88" s="2" t="s">
        <v>249</v>
      </c>
      <c r="B88" s="2">
        <v>3</v>
      </c>
      <c r="C88" s="2">
        <v>30</v>
      </c>
      <c r="D88" s="2" t="s">
        <v>245</v>
      </c>
      <c r="E88" s="2">
        <v>3</v>
      </c>
      <c r="F88" s="2" t="s">
        <v>47</v>
      </c>
      <c r="G88" s="2">
        <v>425</v>
      </c>
      <c r="H88" s="4" t="s">
        <v>250</v>
      </c>
      <c r="I88" s="2" t="str">
        <f t="shared" si="7"/>
        <v>3.30.3</v>
      </c>
      <c r="J88" s="5">
        <f t="shared" si="8"/>
        <v>4.84</v>
      </c>
      <c r="K88" s="5">
        <f t="shared" si="9"/>
        <v>6.9099999999999993</v>
      </c>
      <c r="L88" s="5">
        <f t="shared" si="10"/>
        <v>6.95</v>
      </c>
      <c r="M88" s="5">
        <f t="shared" si="11"/>
        <v>-0.52100000000000002</v>
      </c>
      <c r="N88" s="5">
        <f t="shared" si="12"/>
        <v>18.7</v>
      </c>
      <c r="O88" s="2">
        <v>233</v>
      </c>
      <c r="P88" s="4" t="s">
        <v>105</v>
      </c>
      <c r="Q88">
        <v>14.3</v>
      </c>
      <c r="R88">
        <v>20</v>
      </c>
      <c r="S88">
        <v>18</v>
      </c>
      <c r="T88">
        <v>48.4</v>
      </c>
      <c r="U88">
        <v>69.099999999999994</v>
      </c>
      <c r="V88">
        <v>69.5</v>
      </c>
      <c r="W88" t="s">
        <v>35</v>
      </c>
      <c r="X88" t="s">
        <v>34</v>
      </c>
      <c r="Y88" t="s">
        <v>34</v>
      </c>
      <c r="Z88" t="s">
        <v>106</v>
      </c>
      <c r="AA88">
        <v>-52.1</v>
      </c>
      <c r="AB88">
        <v>187</v>
      </c>
      <c r="AC88" t="s">
        <v>215</v>
      </c>
    </row>
    <row r="89" spans="1:29" x14ac:dyDescent="0.35">
      <c r="A89" s="2" t="s">
        <v>251</v>
      </c>
      <c r="B89" s="2">
        <v>3</v>
      </c>
      <c r="C89" s="2">
        <v>30</v>
      </c>
      <c r="D89" s="2" t="s">
        <v>245</v>
      </c>
      <c r="E89" s="2">
        <v>4</v>
      </c>
      <c r="F89" s="2" t="s">
        <v>31</v>
      </c>
      <c r="G89" s="2">
        <v>240</v>
      </c>
      <c r="H89" s="4" t="s">
        <v>252</v>
      </c>
      <c r="I89" s="2" t="str">
        <f t="shared" si="7"/>
        <v>3.30.4</v>
      </c>
      <c r="J89" s="5">
        <f t="shared" si="8"/>
        <v>4.6399999999999997</v>
      </c>
      <c r="K89" s="5">
        <f t="shared" si="9"/>
        <v>6.38</v>
      </c>
      <c r="L89" s="5">
        <f t="shared" si="10"/>
        <v>8.3099999999999987</v>
      </c>
      <c r="M89" s="5">
        <f t="shared" si="11"/>
        <v>-0.67299999999999993</v>
      </c>
      <c r="N89" s="5">
        <f t="shared" si="12"/>
        <v>19.329999999999998</v>
      </c>
      <c r="O89" s="2">
        <v>233</v>
      </c>
      <c r="P89" s="4" t="s">
        <v>105</v>
      </c>
      <c r="Q89">
        <v>14</v>
      </c>
      <c r="R89">
        <v>17</v>
      </c>
      <c r="S89">
        <v>26</v>
      </c>
      <c r="T89">
        <v>46.4</v>
      </c>
      <c r="U89">
        <v>63.8</v>
      </c>
      <c r="V89">
        <v>83.1</v>
      </c>
      <c r="W89" t="s">
        <v>35</v>
      </c>
      <c r="X89" t="s">
        <v>34</v>
      </c>
      <c r="Y89" t="s">
        <v>34</v>
      </c>
      <c r="Z89" t="s">
        <v>106</v>
      </c>
      <c r="AA89">
        <v>-67.3</v>
      </c>
      <c r="AB89">
        <v>193.3</v>
      </c>
      <c r="AC89" t="s">
        <v>215</v>
      </c>
    </row>
    <row r="90" spans="1:29" x14ac:dyDescent="0.35">
      <c r="A90" s="2" t="s">
        <v>253</v>
      </c>
      <c r="B90" s="2">
        <v>3</v>
      </c>
      <c r="C90" s="2">
        <v>31</v>
      </c>
      <c r="D90" s="2" t="s">
        <v>254</v>
      </c>
      <c r="E90" s="2">
        <v>1</v>
      </c>
      <c r="F90" s="2" t="s">
        <v>47</v>
      </c>
      <c r="G90" s="2">
        <v>609</v>
      </c>
      <c r="H90" s="4" t="s">
        <v>255</v>
      </c>
      <c r="I90" s="2" t="str">
        <f t="shared" si="7"/>
        <v>3.31.1</v>
      </c>
      <c r="J90" s="5">
        <f t="shared" si="8"/>
        <v>6.39</v>
      </c>
      <c r="K90" s="5">
        <f t="shared" si="9"/>
        <v>7.07</v>
      </c>
      <c r="L90" s="5">
        <f t="shared" si="10"/>
        <v>5.7299999999999995</v>
      </c>
      <c r="M90" s="5">
        <f t="shared" si="11"/>
        <v>-0.17199999999999999</v>
      </c>
      <c r="N90" s="5">
        <f t="shared" si="12"/>
        <v>19.190000000000001</v>
      </c>
      <c r="O90" s="2">
        <v>332</v>
      </c>
      <c r="P90" s="4" t="s">
        <v>225</v>
      </c>
      <c r="Q90">
        <v>22</v>
      </c>
      <c r="R90">
        <v>21</v>
      </c>
      <c r="S90">
        <v>11</v>
      </c>
      <c r="T90">
        <v>63.9</v>
      </c>
      <c r="U90">
        <v>70.7</v>
      </c>
      <c r="V90">
        <v>57.3</v>
      </c>
      <c r="W90" t="s">
        <v>34</v>
      </c>
      <c r="X90" t="s">
        <v>34</v>
      </c>
      <c r="Y90" t="s">
        <v>35</v>
      </c>
      <c r="Z90" t="s">
        <v>62</v>
      </c>
      <c r="AA90">
        <v>-17.2</v>
      </c>
      <c r="AB90">
        <v>191.9</v>
      </c>
      <c r="AC90" t="s">
        <v>215</v>
      </c>
    </row>
    <row r="91" spans="1:29" x14ac:dyDescent="0.35">
      <c r="A91" s="2" t="s">
        <v>256</v>
      </c>
      <c r="B91" s="2">
        <v>3</v>
      </c>
      <c r="C91" s="2">
        <v>31</v>
      </c>
      <c r="D91" s="2" t="s">
        <v>254</v>
      </c>
      <c r="E91" s="2">
        <v>2</v>
      </c>
      <c r="F91" s="2" t="s">
        <v>31</v>
      </c>
      <c r="G91" s="2">
        <v>1472</v>
      </c>
      <c r="H91" s="4" t="s">
        <v>257</v>
      </c>
      <c r="I91" s="2" t="str">
        <f t="shared" si="7"/>
        <v>3.31.2</v>
      </c>
      <c r="J91" s="5">
        <f t="shared" si="8"/>
        <v>4.3100000000000005</v>
      </c>
      <c r="K91" s="5">
        <f t="shared" si="9"/>
        <v>4.5600000000000005</v>
      </c>
      <c r="L91" s="5">
        <f t="shared" si="10"/>
        <v>5.09</v>
      </c>
      <c r="M91" s="5">
        <f t="shared" si="11"/>
        <v>-0.10199999999999999</v>
      </c>
      <c r="N91" s="5">
        <f t="shared" si="12"/>
        <v>13.96</v>
      </c>
      <c r="O91" s="2">
        <v>222</v>
      </c>
      <c r="P91" s="4" t="s">
        <v>65</v>
      </c>
      <c r="Q91">
        <v>13.5</v>
      </c>
      <c r="R91">
        <v>11</v>
      </c>
      <c r="S91">
        <v>8</v>
      </c>
      <c r="T91">
        <v>43.1</v>
      </c>
      <c r="U91">
        <v>45.6</v>
      </c>
      <c r="V91">
        <v>50.9</v>
      </c>
      <c r="W91" t="s">
        <v>35</v>
      </c>
      <c r="X91" t="s">
        <v>35</v>
      </c>
      <c r="Y91" t="s">
        <v>35</v>
      </c>
      <c r="Z91" t="s">
        <v>36</v>
      </c>
      <c r="AA91">
        <v>-10.199999999999999</v>
      </c>
      <c r="AB91">
        <v>139.6</v>
      </c>
      <c r="AC91" t="s">
        <v>215</v>
      </c>
    </row>
    <row r="92" spans="1:29" x14ac:dyDescent="0.35">
      <c r="A92" s="2" t="s">
        <v>258</v>
      </c>
      <c r="B92" s="2">
        <v>3</v>
      </c>
      <c r="C92" s="2">
        <v>31</v>
      </c>
      <c r="D92" s="2" t="s">
        <v>254</v>
      </c>
      <c r="E92" s="2">
        <v>3</v>
      </c>
      <c r="F92" s="2" t="s">
        <v>47</v>
      </c>
      <c r="G92" s="2">
        <v>1556</v>
      </c>
      <c r="H92" s="4" t="s">
        <v>259</v>
      </c>
      <c r="I92" s="2" t="str">
        <f t="shared" si="7"/>
        <v>3.31.3</v>
      </c>
      <c r="J92" s="5">
        <f t="shared" si="8"/>
        <v>5.82</v>
      </c>
      <c r="K92" s="5">
        <f t="shared" si="9"/>
        <v>5.49</v>
      </c>
      <c r="L92" s="5">
        <f t="shared" si="10"/>
        <v>6.8400000000000007</v>
      </c>
      <c r="M92" s="5">
        <f t="shared" si="11"/>
        <v>-5.5E-2</v>
      </c>
      <c r="N92" s="5">
        <f t="shared" si="12"/>
        <v>18.150000000000002</v>
      </c>
      <c r="O92" s="2">
        <v>223</v>
      </c>
      <c r="P92" s="4" t="s">
        <v>42</v>
      </c>
      <c r="Q92">
        <v>20</v>
      </c>
      <c r="R92">
        <v>13</v>
      </c>
      <c r="S92">
        <v>17</v>
      </c>
      <c r="T92">
        <v>58.2</v>
      </c>
      <c r="U92">
        <v>54.9</v>
      </c>
      <c r="V92">
        <v>68.400000000000006</v>
      </c>
      <c r="W92" t="s">
        <v>35</v>
      </c>
      <c r="X92" t="s">
        <v>35</v>
      </c>
      <c r="Y92" t="s">
        <v>34</v>
      </c>
      <c r="Z92" t="s">
        <v>36</v>
      </c>
      <c r="AA92">
        <v>-5.5</v>
      </c>
      <c r="AB92">
        <v>181.5</v>
      </c>
      <c r="AC92" t="s">
        <v>215</v>
      </c>
    </row>
    <row r="93" spans="1:29" x14ac:dyDescent="0.35">
      <c r="A93" s="2" t="s">
        <v>260</v>
      </c>
      <c r="B93" s="2">
        <v>3</v>
      </c>
      <c r="C93" s="2">
        <v>32</v>
      </c>
      <c r="D93" s="2" t="s">
        <v>261</v>
      </c>
      <c r="E93" s="2">
        <v>1</v>
      </c>
      <c r="F93" s="2" t="s">
        <v>47</v>
      </c>
      <c r="G93" s="2">
        <v>938</v>
      </c>
      <c r="H93" s="4" t="s">
        <v>262</v>
      </c>
      <c r="I93" s="2" t="str">
        <f t="shared" si="7"/>
        <v>3.32.1</v>
      </c>
      <c r="J93" s="5">
        <f t="shared" si="8"/>
        <v>4</v>
      </c>
      <c r="K93" s="5">
        <f t="shared" si="9"/>
        <v>5.49</v>
      </c>
      <c r="L93" s="5">
        <f t="shared" si="10"/>
        <v>6.35</v>
      </c>
      <c r="M93" s="5">
        <f t="shared" si="11"/>
        <v>7.5999999999999998E-2</v>
      </c>
      <c r="N93" s="5">
        <f t="shared" si="12"/>
        <v>15.84</v>
      </c>
      <c r="O93" s="2">
        <v>223</v>
      </c>
      <c r="P93" s="4" t="s">
        <v>42</v>
      </c>
      <c r="Q93">
        <v>12</v>
      </c>
      <c r="R93">
        <v>13</v>
      </c>
      <c r="S93">
        <v>13</v>
      </c>
      <c r="T93">
        <v>40</v>
      </c>
      <c r="U93">
        <v>54.9</v>
      </c>
      <c r="V93">
        <v>63.5</v>
      </c>
      <c r="W93" t="s">
        <v>35</v>
      </c>
      <c r="X93" t="s">
        <v>35</v>
      </c>
      <c r="Y93" t="s">
        <v>34</v>
      </c>
      <c r="Z93" t="s">
        <v>36</v>
      </c>
      <c r="AA93">
        <v>7.6</v>
      </c>
      <c r="AB93">
        <v>158.4</v>
      </c>
      <c r="AC93" t="s">
        <v>215</v>
      </c>
    </row>
    <row r="94" spans="1:29" x14ac:dyDescent="0.35">
      <c r="A94" s="2" t="s">
        <v>263</v>
      </c>
      <c r="B94" s="2">
        <v>3</v>
      </c>
      <c r="C94" s="2">
        <v>32</v>
      </c>
      <c r="D94" s="2" t="s">
        <v>261</v>
      </c>
      <c r="E94" s="2">
        <v>2</v>
      </c>
      <c r="F94" s="2" t="s">
        <v>31</v>
      </c>
      <c r="G94" s="2">
        <v>868</v>
      </c>
      <c r="H94" s="4" t="s">
        <v>264</v>
      </c>
      <c r="I94" s="2" t="str">
        <f t="shared" si="7"/>
        <v>3.32.2</v>
      </c>
      <c r="J94" s="5">
        <f t="shared" si="8"/>
        <v>2.59</v>
      </c>
      <c r="K94" s="5">
        <f t="shared" si="9"/>
        <v>5.8</v>
      </c>
      <c r="L94" s="5">
        <f t="shared" si="10"/>
        <v>4.5600000000000005</v>
      </c>
      <c r="M94" s="5">
        <f t="shared" si="11"/>
        <v>0</v>
      </c>
      <c r="N94" s="5">
        <f t="shared" si="12"/>
        <v>12.950000000000001</v>
      </c>
      <c r="O94" s="2">
        <v>122</v>
      </c>
      <c r="P94" s="4" t="s">
        <v>53</v>
      </c>
      <c r="Q94">
        <v>8.5</v>
      </c>
      <c r="R94">
        <v>14</v>
      </c>
      <c r="S94">
        <v>7</v>
      </c>
      <c r="T94">
        <v>25.9</v>
      </c>
      <c r="U94">
        <v>58</v>
      </c>
      <c r="V94">
        <v>45.6</v>
      </c>
      <c r="W94" t="s">
        <v>50</v>
      </c>
      <c r="X94" t="s">
        <v>35</v>
      </c>
      <c r="Y94" t="s">
        <v>35</v>
      </c>
      <c r="Z94" t="s">
        <v>36</v>
      </c>
      <c r="AA94">
        <v>0</v>
      </c>
      <c r="AB94">
        <v>129.5</v>
      </c>
      <c r="AC94" t="s">
        <v>215</v>
      </c>
    </row>
    <row r="95" spans="1:29" x14ac:dyDescent="0.35">
      <c r="A95" s="2" t="s">
        <v>265</v>
      </c>
      <c r="B95" s="2">
        <v>3</v>
      </c>
      <c r="C95" s="2">
        <v>32</v>
      </c>
      <c r="D95" s="2" t="s">
        <v>261</v>
      </c>
      <c r="E95" s="2">
        <v>3</v>
      </c>
      <c r="F95" s="2" t="s">
        <v>31</v>
      </c>
      <c r="G95" s="2">
        <v>1150</v>
      </c>
      <c r="H95" s="4" t="s">
        <v>266</v>
      </c>
      <c r="I95" s="2" t="str">
        <f t="shared" si="7"/>
        <v>3.32.3</v>
      </c>
      <c r="J95" s="5">
        <f t="shared" si="8"/>
        <v>4</v>
      </c>
      <c r="K95" s="5">
        <f t="shared" si="9"/>
        <v>6.38</v>
      </c>
      <c r="L95" s="5">
        <f t="shared" si="10"/>
        <v>4.5600000000000005</v>
      </c>
      <c r="M95" s="5">
        <f t="shared" si="11"/>
        <v>0</v>
      </c>
      <c r="N95" s="5">
        <f t="shared" si="12"/>
        <v>14.94</v>
      </c>
      <c r="O95" s="2">
        <v>232</v>
      </c>
      <c r="P95" s="4" t="s">
        <v>61</v>
      </c>
      <c r="Q95">
        <v>12</v>
      </c>
      <c r="R95">
        <v>17</v>
      </c>
      <c r="S95">
        <v>7</v>
      </c>
      <c r="T95">
        <v>40</v>
      </c>
      <c r="U95">
        <v>63.8</v>
      </c>
      <c r="V95">
        <v>45.6</v>
      </c>
      <c r="W95" t="s">
        <v>35</v>
      </c>
      <c r="X95" t="s">
        <v>34</v>
      </c>
      <c r="Y95" t="s">
        <v>35</v>
      </c>
      <c r="Z95" t="s">
        <v>36</v>
      </c>
      <c r="AA95">
        <v>0</v>
      </c>
      <c r="AB95">
        <v>149.4</v>
      </c>
      <c r="AC95" t="s">
        <v>215</v>
      </c>
    </row>
    <row r="96" spans="1:29" x14ac:dyDescent="0.35">
      <c r="A96" s="2" t="s">
        <v>267</v>
      </c>
      <c r="B96" s="2">
        <v>3</v>
      </c>
      <c r="C96" s="2">
        <v>33</v>
      </c>
      <c r="D96" s="2" t="s">
        <v>268</v>
      </c>
      <c r="E96" s="2">
        <v>1</v>
      </c>
      <c r="F96" s="2" t="s">
        <v>31</v>
      </c>
      <c r="G96" s="2">
        <v>1230</v>
      </c>
      <c r="H96" s="4" t="s">
        <v>269</v>
      </c>
      <c r="I96" s="2" t="str">
        <f t="shared" si="7"/>
        <v>3.33.1</v>
      </c>
      <c r="J96" s="5">
        <f t="shared" si="8"/>
        <v>5.2700000000000005</v>
      </c>
      <c r="K96" s="5">
        <f t="shared" si="9"/>
        <v>7.62</v>
      </c>
      <c r="L96" s="5">
        <f t="shared" si="10"/>
        <v>7.5</v>
      </c>
      <c r="M96" s="5">
        <f t="shared" si="11"/>
        <v>-0.41200000000000003</v>
      </c>
      <c r="N96" s="5">
        <f t="shared" si="12"/>
        <v>20.39</v>
      </c>
      <c r="O96" s="2">
        <v>233</v>
      </c>
      <c r="P96" s="4" t="s">
        <v>105</v>
      </c>
      <c r="Q96">
        <v>17</v>
      </c>
      <c r="R96">
        <v>26</v>
      </c>
      <c r="S96">
        <v>22</v>
      </c>
      <c r="T96">
        <v>52.7</v>
      </c>
      <c r="U96">
        <v>76.2</v>
      </c>
      <c r="V96">
        <v>75</v>
      </c>
      <c r="W96" t="s">
        <v>35</v>
      </c>
      <c r="X96" t="s">
        <v>34</v>
      </c>
      <c r="Y96" t="s">
        <v>34</v>
      </c>
      <c r="Z96" t="s">
        <v>62</v>
      </c>
      <c r="AA96">
        <v>-41.2</v>
      </c>
      <c r="AB96">
        <v>203.9</v>
      </c>
      <c r="AC96" t="s">
        <v>215</v>
      </c>
    </row>
    <row r="97" spans="1:29" x14ac:dyDescent="0.35">
      <c r="A97" s="2" t="s">
        <v>270</v>
      </c>
      <c r="B97" s="2">
        <v>3</v>
      </c>
      <c r="C97" s="2">
        <v>33</v>
      </c>
      <c r="D97" s="2" t="s">
        <v>268</v>
      </c>
      <c r="E97" s="2">
        <v>2</v>
      </c>
      <c r="F97" s="2" t="s">
        <v>47</v>
      </c>
      <c r="G97" s="2">
        <v>1386</v>
      </c>
      <c r="H97" s="4" t="s">
        <v>271</v>
      </c>
      <c r="I97" s="2" t="str">
        <f t="shared" si="7"/>
        <v>3.33.2</v>
      </c>
      <c r="J97" s="5">
        <f t="shared" si="8"/>
        <v>6.67</v>
      </c>
      <c r="K97" s="5">
        <f t="shared" si="9"/>
        <v>5.8</v>
      </c>
      <c r="L97" s="5">
        <f t="shared" si="10"/>
        <v>5.34</v>
      </c>
      <c r="M97" s="5">
        <f t="shared" si="11"/>
        <v>-0.16</v>
      </c>
      <c r="N97" s="5">
        <f t="shared" si="12"/>
        <v>17.809999999999999</v>
      </c>
      <c r="O97" s="2">
        <v>322</v>
      </c>
      <c r="P97" s="4" t="s">
        <v>94</v>
      </c>
      <c r="Q97">
        <v>27.5</v>
      </c>
      <c r="R97">
        <v>14</v>
      </c>
      <c r="S97">
        <v>9</v>
      </c>
      <c r="T97">
        <v>66.7</v>
      </c>
      <c r="U97">
        <v>58</v>
      </c>
      <c r="V97">
        <v>53.4</v>
      </c>
      <c r="W97" t="s">
        <v>34</v>
      </c>
      <c r="X97" t="s">
        <v>35</v>
      </c>
      <c r="Y97" t="s">
        <v>35</v>
      </c>
      <c r="Z97" t="s">
        <v>62</v>
      </c>
      <c r="AA97">
        <v>-16</v>
      </c>
      <c r="AB97">
        <v>178.1</v>
      </c>
      <c r="AC97" t="s">
        <v>215</v>
      </c>
    </row>
    <row r="98" spans="1:29" x14ac:dyDescent="0.35">
      <c r="A98" s="2" t="s">
        <v>272</v>
      </c>
      <c r="B98" s="2">
        <v>3</v>
      </c>
      <c r="C98" s="2">
        <v>33</v>
      </c>
      <c r="D98" s="2" t="s">
        <v>268</v>
      </c>
      <c r="E98" s="2">
        <v>3</v>
      </c>
      <c r="F98" s="2" t="s">
        <v>47</v>
      </c>
      <c r="G98" s="2">
        <v>841</v>
      </c>
      <c r="H98" s="4" t="s">
        <v>273</v>
      </c>
      <c r="I98" s="2" t="str">
        <f t="shared" ref="I98:I129" si="13">B98&amp;"."&amp;C98&amp;"."&amp;E98</f>
        <v>3.33.3</v>
      </c>
      <c r="J98" s="5">
        <f t="shared" si="8"/>
        <v>6.09</v>
      </c>
      <c r="K98" s="5">
        <f t="shared" si="9"/>
        <v>4.5600000000000005</v>
      </c>
      <c r="L98" s="5">
        <f t="shared" si="10"/>
        <v>5.55</v>
      </c>
      <c r="M98" s="5">
        <f t="shared" si="11"/>
        <v>-0.16600000000000001</v>
      </c>
      <c r="N98" s="5">
        <f t="shared" si="12"/>
        <v>16.2</v>
      </c>
      <c r="O98" s="2">
        <v>322</v>
      </c>
      <c r="P98" s="4" t="s">
        <v>94</v>
      </c>
      <c r="Q98">
        <v>21</v>
      </c>
      <c r="R98">
        <v>11</v>
      </c>
      <c r="S98">
        <v>10</v>
      </c>
      <c r="T98">
        <v>60.9</v>
      </c>
      <c r="U98">
        <v>45.6</v>
      </c>
      <c r="V98">
        <v>55.5</v>
      </c>
      <c r="W98" t="s">
        <v>34</v>
      </c>
      <c r="X98" t="s">
        <v>35</v>
      </c>
      <c r="Y98" t="s">
        <v>35</v>
      </c>
      <c r="Z98" t="s">
        <v>62</v>
      </c>
      <c r="AA98">
        <v>-16.600000000000001</v>
      </c>
      <c r="AB98">
        <v>162</v>
      </c>
      <c r="AC98" t="s">
        <v>215</v>
      </c>
    </row>
    <row r="99" spans="1:29" x14ac:dyDescent="0.35">
      <c r="A99" s="2" t="s">
        <v>274</v>
      </c>
      <c r="B99" s="2">
        <v>3</v>
      </c>
      <c r="C99" s="2">
        <v>34</v>
      </c>
      <c r="D99" s="2" t="s">
        <v>275</v>
      </c>
      <c r="E99" s="2">
        <v>1</v>
      </c>
      <c r="F99" s="2" t="s">
        <v>31</v>
      </c>
      <c r="G99" s="2">
        <v>749</v>
      </c>
      <c r="H99" s="4" t="s">
        <v>276</v>
      </c>
      <c r="I99" s="2" t="str">
        <f t="shared" si="13"/>
        <v>3.34.1</v>
      </c>
      <c r="J99" s="5">
        <f t="shared" si="8"/>
        <v>4</v>
      </c>
      <c r="K99" s="5">
        <f t="shared" si="9"/>
        <v>7.8599999999999994</v>
      </c>
      <c r="L99" s="5">
        <f t="shared" si="10"/>
        <v>5.96</v>
      </c>
      <c r="M99" s="5">
        <f t="shared" si="11"/>
        <v>-0.59599999999999997</v>
      </c>
      <c r="N99" s="5">
        <f t="shared" si="12"/>
        <v>17.82</v>
      </c>
      <c r="O99" s="2">
        <v>232</v>
      </c>
      <c r="P99" s="4" t="s">
        <v>61</v>
      </c>
      <c r="Q99">
        <v>12</v>
      </c>
      <c r="R99">
        <v>27</v>
      </c>
      <c r="S99">
        <v>12</v>
      </c>
      <c r="T99">
        <v>40</v>
      </c>
      <c r="U99">
        <v>78.599999999999994</v>
      </c>
      <c r="V99">
        <v>59.6</v>
      </c>
      <c r="W99" t="s">
        <v>35</v>
      </c>
      <c r="X99" t="s">
        <v>34</v>
      </c>
      <c r="Y99" t="s">
        <v>35</v>
      </c>
      <c r="Z99" t="s">
        <v>106</v>
      </c>
      <c r="AA99">
        <v>-59.6</v>
      </c>
      <c r="AB99">
        <v>178.2</v>
      </c>
      <c r="AC99" t="s">
        <v>215</v>
      </c>
    </row>
    <row r="100" spans="1:29" x14ac:dyDescent="0.35">
      <c r="A100" s="2" t="s">
        <v>277</v>
      </c>
      <c r="B100" s="2">
        <v>3</v>
      </c>
      <c r="C100" s="2">
        <v>34</v>
      </c>
      <c r="D100" s="2" t="s">
        <v>275</v>
      </c>
      <c r="E100" s="2">
        <v>2</v>
      </c>
      <c r="F100" s="2" t="s">
        <v>31</v>
      </c>
      <c r="G100" s="2">
        <v>1573</v>
      </c>
      <c r="H100" s="4" t="s">
        <v>278</v>
      </c>
      <c r="I100" s="2" t="str">
        <f t="shared" si="13"/>
        <v>3.34.2</v>
      </c>
      <c r="J100" s="5">
        <f t="shared" si="8"/>
        <v>5.5600000000000005</v>
      </c>
      <c r="K100" s="5">
        <f t="shared" si="9"/>
        <v>7.07</v>
      </c>
      <c r="L100" s="5">
        <f t="shared" si="10"/>
        <v>5.96</v>
      </c>
      <c r="M100" s="5">
        <f t="shared" si="11"/>
        <v>-0.53600000000000003</v>
      </c>
      <c r="N100" s="5">
        <f t="shared" si="12"/>
        <v>18.59</v>
      </c>
      <c r="O100" s="2">
        <v>232</v>
      </c>
      <c r="P100" s="4" t="s">
        <v>61</v>
      </c>
      <c r="Q100">
        <v>18.5</v>
      </c>
      <c r="R100">
        <v>21</v>
      </c>
      <c r="S100">
        <v>12</v>
      </c>
      <c r="T100">
        <v>55.6</v>
      </c>
      <c r="U100">
        <v>70.7</v>
      </c>
      <c r="V100">
        <v>59.6</v>
      </c>
      <c r="W100" t="s">
        <v>35</v>
      </c>
      <c r="X100" t="s">
        <v>34</v>
      </c>
      <c r="Y100" t="s">
        <v>35</v>
      </c>
      <c r="Z100" t="s">
        <v>106</v>
      </c>
      <c r="AA100">
        <v>-53.6</v>
      </c>
      <c r="AB100">
        <v>185.9</v>
      </c>
      <c r="AC100" t="s">
        <v>215</v>
      </c>
    </row>
    <row r="101" spans="1:29" x14ac:dyDescent="0.35">
      <c r="A101" s="2" t="s">
        <v>279</v>
      </c>
      <c r="B101" s="2">
        <v>3</v>
      </c>
      <c r="C101" s="2">
        <v>34</v>
      </c>
      <c r="D101" s="2" t="s">
        <v>275</v>
      </c>
      <c r="E101" s="2">
        <v>3</v>
      </c>
      <c r="F101" s="2" t="s">
        <v>31</v>
      </c>
      <c r="G101" s="2">
        <v>561</v>
      </c>
      <c r="H101" s="4" t="s">
        <v>280</v>
      </c>
      <c r="I101" s="2" t="str">
        <f t="shared" si="13"/>
        <v>3.34.3</v>
      </c>
      <c r="J101" s="5">
        <f t="shared" si="8"/>
        <v>6.83</v>
      </c>
      <c r="K101" s="5">
        <f t="shared" si="9"/>
        <v>8.01</v>
      </c>
      <c r="L101" s="5">
        <f t="shared" si="10"/>
        <v>8.0400000000000009</v>
      </c>
      <c r="M101" s="5">
        <f t="shared" si="11"/>
        <v>-0.80400000000000005</v>
      </c>
      <c r="N101" s="5">
        <f t="shared" si="12"/>
        <v>22.880000000000003</v>
      </c>
      <c r="O101" s="2">
        <v>333</v>
      </c>
      <c r="P101" s="4" t="s">
        <v>83</v>
      </c>
      <c r="Q101">
        <v>29</v>
      </c>
      <c r="R101">
        <v>28</v>
      </c>
      <c r="S101">
        <v>25</v>
      </c>
      <c r="T101">
        <v>68.3</v>
      </c>
      <c r="U101">
        <v>80.099999999999994</v>
      </c>
      <c r="V101">
        <v>80.400000000000006</v>
      </c>
      <c r="W101" t="s">
        <v>34</v>
      </c>
      <c r="X101" t="s">
        <v>34</v>
      </c>
      <c r="Y101" t="s">
        <v>34</v>
      </c>
      <c r="Z101" t="s">
        <v>106</v>
      </c>
      <c r="AA101">
        <v>-80.400000000000006</v>
      </c>
      <c r="AB101">
        <v>228.8</v>
      </c>
      <c r="AC101" t="s">
        <v>215</v>
      </c>
    </row>
    <row r="102" spans="1:29" x14ac:dyDescent="0.35">
      <c r="A102" s="2" t="s">
        <v>281</v>
      </c>
      <c r="B102" s="2">
        <v>3</v>
      </c>
      <c r="C102" s="2">
        <v>35</v>
      </c>
      <c r="D102" s="2" t="s">
        <v>282</v>
      </c>
      <c r="E102" s="2">
        <v>1</v>
      </c>
      <c r="F102" s="2" t="s">
        <v>47</v>
      </c>
      <c r="G102" s="2">
        <v>1149</v>
      </c>
      <c r="H102" s="4" t="s">
        <v>283</v>
      </c>
      <c r="I102" s="2" t="str">
        <f t="shared" si="13"/>
        <v>3.35.1</v>
      </c>
      <c r="J102" s="5">
        <f t="shared" si="8"/>
        <v>4.9399999999999995</v>
      </c>
      <c r="K102" s="5">
        <f t="shared" si="9"/>
        <v>6.6099999999999994</v>
      </c>
      <c r="L102" s="5">
        <f t="shared" si="10"/>
        <v>5.7299999999999995</v>
      </c>
      <c r="M102" s="5">
        <f t="shared" si="11"/>
        <v>-0.51600000000000001</v>
      </c>
      <c r="N102" s="5">
        <f t="shared" si="12"/>
        <v>17.279999999999998</v>
      </c>
      <c r="O102" s="2">
        <v>232</v>
      </c>
      <c r="P102" s="4" t="s">
        <v>61</v>
      </c>
      <c r="Q102">
        <v>15</v>
      </c>
      <c r="R102">
        <v>18</v>
      </c>
      <c r="S102">
        <v>11</v>
      </c>
      <c r="T102">
        <v>49.4</v>
      </c>
      <c r="U102">
        <v>66.099999999999994</v>
      </c>
      <c r="V102">
        <v>57.3</v>
      </c>
      <c r="W102" t="s">
        <v>35</v>
      </c>
      <c r="X102" t="s">
        <v>34</v>
      </c>
      <c r="Y102" t="s">
        <v>35</v>
      </c>
      <c r="Z102" t="s">
        <v>106</v>
      </c>
      <c r="AA102">
        <v>-51.6</v>
      </c>
      <c r="AB102">
        <v>172.8</v>
      </c>
      <c r="AC102" t="s">
        <v>215</v>
      </c>
    </row>
    <row r="103" spans="1:29" x14ac:dyDescent="0.35">
      <c r="A103" s="2" t="s">
        <v>284</v>
      </c>
      <c r="B103" s="2">
        <v>3</v>
      </c>
      <c r="C103" s="2">
        <v>35</v>
      </c>
      <c r="D103" s="2" t="s">
        <v>282</v>
      </c>
      <c r="E103" s="2">
        <v>2</v>
      </c>
      <c r="F103" s="2" t="s">
        <v>47</v>
      </c>
      <c r="G103" s="2">
        <v>745</v>
      </c>
      <c r="H103" s="4" t="s">
        <v>285</v>
      </c>
      <c r="I103" s="2" t="str">
        <f t="shared" si="13"/>
        <v>3.35.2</v>
      </c>
      <c r="J103" s="5">
        <f t="shared" si="8"/>
        <v>5.5600000000000005</v>
      </c>
      <c r="K103" s="5">
        <f t="shared" si="9"/>
        <v>6.38</v>
      </c>
      <c r="L103" s="5">
        <f t="shared" si="10"/>
        <v>6.35</v>
      </c>
      <c r="M103" s="5">
        <f t="shared" si="11"/>
        <v>-0.57200000000000006</v>
      </c>
      <c r="N103" s="5">
        <f t="shared" si="12"/>
        <v>18.29</v>
      </c>
      <c r="O103" s="2">
        <v>233</v>
      </c>
      <c r="P103" s="4" t="s">
        <v>105</v>
      </c>
      <c r="Q103">
        <v>18.5</v>
      </c>
      <c r="R103">
        <v>17</v>
      </c>
      <c r="S103">
        <v>13</v>
      </c>
      <c r="T103">
        <v>55.6</v>
      </c>
      <c r="U103">
        <v>63.8</v>
      </c>
      <c r="V103">
        <v>63.5</v>
      </c>
      <c r="W103" t="s">
        <v>35</v>
      </c>
      <c r="X103" t="s">
        <v>34</v>
      </c>
      <c r="Y103" t="s">
        <v>34</v>
      </c>
      <c r="Z103" t="s">
        <v>106</v>
      </c>
      <c r="AA103">
        <v>-57.2</v>
      </c>
      <c r="AB103">
        <v>182.9</v>
      </c>
      <c r="AC103" t="s">
        <v>215</v>
      </c>
    </row>
    <row r="104" spans="1:29" x14ac:dyDescent="0.35">
      <c r="A104" s="2" t="s">
        <v>286</v>
      </c>
      <c r="B104" s="2">
        <v>3</v>
      </c>
      <c r="C104" s="2">
        <v>35</v>
      </c>
      <c r="D104" s="2" t="s">
        <v>282</v>
      </c>
      <c r="E104" s="2">
        <v>3</v>
      </c>
      <c r="F104" s="2" t="s">
        <v>47</v>
      </c>
      <c r="G104" s="2">
        <v>1772</v>
      </c>
      <c r="H104" s="4" t="s">
        <v>287</v>
      </c>
      <c r="I104" s="2" t="str">
        <f t="shared" si="13"/>
        <v>3.35.3</v>
      </c>
      <c r="J104" s="5">
        <f t="shared" si="8"/>
        <v>7.35</v>
      </c>
      <c r="K104" s="5">
        <f t="shared" si="9"/>
        <v>8.39</v>
      </c>
      <c r="L104" s="5">
        <f t="shared" si="10"/>
        <v>7.1599999999999993</v>
      </c>
      <c r="M104" s="5">
        <f t="shared" si="11"/>
        <v>-0.71599999999999997</v>
      </c>
      <c r="N104" s="5">
        <f t="shared" si="12"/>
        <v>22.9</v>
      </c>
      <c r="O104" s="2">
        <v>333</v>
      </c>
      <c r="P104" s="4" t="s">
        <v>83</v>
      </c>
      <c r="Q104">
        <v>34</v>
      </c>
      <c r="R104">
        <v>33</v>
      </c>
      <c r="S104">
        <v>20</v>
      </c>
      <c r="T104">
        <v>73.5</v>
      </c>
      <c r="U104">
        <v>83.9</v>
      </c>
      <c r="V104">
        <v>71.599999999999994</v>
      </c>
      <c r="W104" t="s">
        <v>34</v>
      </c>
      <c r="X104" t="s">
        <v>34</v>
      </c>
      <c r="Y104" t="s">
        <v>34</v>
      </c>
      <c r="Z104" t="s">
        <v>106</v>
      </c>
      <c r="AA104">
        <v>-71.599999999999994</v>
      </c>
      <c r="AB104">
        <v>229</v>
      </c>
      <c r="AC104" t="s">
        <v>215</v>
      </c>
    </row>
    <row r="105" spans="1:29" x14ac:dyDescent="0.35">
      <c r="A105" s="2" t="s">
        <v>288</v>
      </c>
      <c r="B105" s="2">
        <v>3</v>
      </c>
      <c r="C105" s="2">
        <v>36</v>
      </c>
      <c r="D105" s="2" t="s">
        <v>289</v>
      </c>
      <c r="E105" s="2">
        <v>1</v>
      </c>
      <c r="F105" s="2" t="s">
        <v>31</v>
      </c>
      <c r="G105" s="2">
        <v>1081</v>
      </c>
      <c r="H105" s="4" t="s">
        <v>290</v>
      </c>
      <c r="I105" s="2" t="str">
        <f t="shared" si="13"/>
        <v>3.36.1</v>
      </c>
      <c r="J105" s="5">
        <f t="shared" si="8"/>
        <v>2.96</v>
      </c>
      <c r="K105" s="5">
        <f t="shared" si="9"/>
        <v>6.8</v>
      </c>
      <c r="L105" s="5">
        <f t="shared" si="10"/>
        <v>7.5</v>
      </c>
      <c r="M105" s="5">
        <f t="shared" si="11"/>
        <v>0.32200000000000001</v>
      </c>
      <c r="N105" s="5">
        <f t="shared" si="12"/>
        <v>17.259999999999998</v>
      </c>
      <c r="O105" s="2">
        <v>133</v>
      </c>
      <c r="P105" s="4" t="s">
        <v>291</v>
      </c>
      <c r="Q105">
        <v>10</v>
      </c>
      <c r="R105">
        <v>19</v>
      </c>
      <c r="S105">
        <v>22</v>
      </c>
      <c r="T105">
        <v>29.6</v>
      </c>
      <c r="U105">
        <v>68</v>
      </c>
      <c r="V105">
        <v>75</v>
      </c>
      <c r="W105" t="s">
        <v>50</v>
      </c>
      <c r="X105" t="s">
        <v>34</v>
      </c>
      <c r="Y105" t="s">
        <v>34</v>
      </c>
      <c r="Z105" t="s">
        <v>292</v>
      </c>
      <c r="AA105">
        <v>32.200000000000003</v>
      </c>
      <c r="AB105">
        <v>172.6</v>
      </c>
      <c r="AC105" t="s">
        <v>215</v>
      </c>
    </row>
    <row r="106" spans="1:29" x14ac:dyDescent="0.35">
      <c r="A106" s="2" t="s">
        <v>293</v>
      </c>
      <c r="B106" s="2">
        <v>3</v>
      </c>
      <c r="C106" s="2">
        <v>36</v>
      </c>
      <c r="D106" s="2" t="s">
        <v>289</v>
      </c>
      <c r="E106" s="2">
        <v>2</v>
      </c>
      <c r="F106" s="2" t="s">
        <v>31</v>
      </c>
      <c r="G106" s="2">
        <v>1400</v>
      </c>
      <c r="H106" s="4" t="s">
        <v>294</v>
      </c>
      <c r="I106" s="2" t="str">
        <f t="shared" si="13"/>
        <v>3.36.2</v>
      </c>
      <c r="J106" s="5">
        <f t="shared" si="8"/>
        <v>3.2299999999999995</v>
      </c>
      <c r="K106" s="5">
        <f t="shared" si="9"/>
        <v>7.07</v>
      </c>
      <c r="L106" s="5">
        <f t="shared" si="10"/>
        <v>5.96</v>
      </c>
      <c r="M106" s="5">
        <f t="shared" si="11"/>
        <v>0.11900000000000001</v>
      </c>
      <c r="N106" s="5">
        <f t="shared" si="12"/>
        <v>16.260000000000002</v>
      </c>
      <c r="O106" s="2">
        <v>232</v>
      </c>
      <c r="P106" s="4" t="s">
        <v>61</v>
      </c>
      <c r="Q106">
        <v>10.5</v>
      </c>
      <c r="R106">
        <v>21</v>
      </c>
      <c r="S106">
        <v>12</v>
      </c>
      <c r="T106">
        <v>32.299999999999997</v>
      </c>
      <c r="U106">
        <v>70.7</v>
      </c>
      <c r="V106">
        <v>59.6</v>
      </c>
      <c r="W106" t="s">
        <v>35</v>
      </c>
      <c r="X106" t="s">
        <v>34</v>
      </c>
      <c r="Y106" t="s">
        <v>35</v>
      </c>
      <c r="Z106" t="s">
        <v>36</v>
      </c>
      <c r="AA106">
        <v>11.9</v>
      </c>
      <c r="AB106">
        <v>162.6</v>
      </c>
      <c r="AC106" t="s">
        <v>215</v>
      </c>
    </row>
    <row r="107" spans="1:29" x14ac:dyDescent="0.35">
      <c r="A107" s="2" t="s">
        <v>295</v>
      </c>
      <c r="B107" s="2">
        <v>3</v>
      </c>
      <c r="C107" s="2">
        <v>36</v>
      </c>
      <c r="D107" s="2" t="s">
        <v>289</v>
      </c>
      <c r="E107" s="2">
        <v>3</v>
      </c>
      <c r="F107" s="2" t="s">
        <v>31</v>
      </c>
      <c r="G107" s="2">
        <v>1393</v>
      </c>
      <c r="I107" s="2" t="str">
        <f t="shared" si="13"/>
        <v>3.36.3</v>
      </c>
      <c r="J107" s="5">
        <f t="shared" si="8"/>
        <v>4.6399999999999997</v>
      </c>
      <c r="K107" s="5">
        <f t="shared" si="9"/>
        <v>5.14</v>
      </c>
      <c r="L107" s="5">
        <f t="shared" si="10"/>
        <v>5.34</v>
      </c>
      <c r="M107" s="5">
        <f t="shared" si="11"/>
        <v>0.107</v>
      </c>
      <c r="N107" s="5">
        <f t="shared" si="12"/>
        <v>15.12</v>
      </c>
      <c r="O107" s="2">
        <v>222</v>
      </c>
      <c r="P107" s="4" t="s">
        <v>65</v>
      </c>
      <c r="Q107">
        <v>14</v>
      </c>
      <c r="R107">
        <v>12</v>
      </c>
      <c r="S107">
        <v>9</v>
      </c>
      <c r="T107">
        <v>46.4</v>
      </c>
      <c r="U107">
        <v>51.4</v>
      </c>
      <c r="V107">
        <v>53.4</v>
      </c>
      <c r="W107" t="s">
        <v>35</v>
      </c>
      <c r="X107" t="s">
        <v>35</v>
      </c>
      <c r="Y107" t="s">
        <v>35</v>
      </c>
      <c r="Z107" t="s">
        <v>36</v>
      </c>
      <c r="AA107">
        <v>10.7</v>
      </c>
      <c r="AB107">
        <v>151.19999999999999</v>
      </c>
      <c r="AC107" t="s">
        <v>215</v>
      </c>
    </row>
    <row r="108" spans="1:29" x14ac:dyDescent="0.35">
      <c r="A108" s="2" t="s">
        <v>296</v>
      </c>
      <c r="B108" s="2">
        <v>3</v>
      </c>
      <c r="C108" s="2">
        <v>37</v>
      </c>
      <c r="D108" s="2" t="s">
        <v>297</v>
      </c>
      <c r="E108" s="2">
        <v>1</v>
      </c>
      <c r="F108" s="2" t="s">
        <v>47</v>
      </c>
      <c r="G108" s="2">
        <v>775</v>
      </c>
      <c r="H108" s="4" t="s">
        <v>298</v>
      </c>
      <c r="I108" s="2" t="str">
        <f t="shared" si="13"/>
        <v>3.37.1</v>
      </c>
      <c r="J108" s="5">
        <f t="shared" si="8"/>
        <v>6.09</v>
      </c>
      <c r="K108" s="5">
        <f t="shared" si="9"/>
        <v>7.37</v>
      </c>
      <c r="L108" s="5">
        <f t="shared" si="10"/>
        <v>6.35</v>
      </c>
      <c r="M108" s="5">
        <f t="shared" si="11"/>
        <v>-7.5999999999999998E-2</v>
      </c>
      <c r="N108" s="5">
        <f t="shared" si="12"/>
        <v>19.810000000000002</v>
      </c>
      <c r="O108" s="2">
        <v>333</v>
      </c>
      <c r="P108" s="4" t="s">
        <v>83</v>
      </c>
      <c r="Q108">
        <v>21</v>
      </c>
      <c r="R108">
        <v>25</v>
      </c>
      <c r="S108">
        <v>13</v>
      </c>
      <c r="T108">
        <v>60.9</v>
      </c>
      <c r="U108">
        <v>73.7</v>
      </c>
      <c r="V108">
        <v>63.5</v>
      </c>
      <c r="W108" t="s">
        <v>34</v>
      </c>
      <c r="X108" t="s">
        <v>34</v>
      </c>
      <c r="Y108" t="s">
        <v>34</v>
      </c>
      <c r="Z108" t="s">
        <v>36</v>
      </c>
      <c r="AA108">
        <v>-7.6</v>
      </c>
      <c r="AB108">
        <v>198.1</v>
      </c>
      <c r="AC108" t="s">
        <v>215</v>
      </c>
    </row>
    <row r="109" spans="1:29" x14ac:dyDescent="0.35">
      <c r="A109" s="2" t="s">
        <v>299</v>
      </c>
      <c r="B109" s="2">
        <v>3</v>
      </c>
      <c r="C109" s="2">
        <v>37</v>
      </c>
      <c r="D109" s="2" t="s">
        <v>297</v>
      </c>
      <c r="E109" s="2">
        <v>2</v>
      </c>
      <c r="F109" s="2" t="s">
        <v>47</v>
      </c>
      <c r="G109" s="2">
        <v>803</v>
      </c>
      <c r="H109" s="4" t="s">
        <v>300</v>
      </c>
      <c r="I109" s="2" t="str">
        <f t="shared" si="13"/>
        <v>3.37.2</v>
      </c>
      <c r="J109" s="5">
        <f t="shared" si="8"/>
        <v>3.44</v>
      </c>
      <c r="K109" s="5">
        <f t="shared" si="9"/>
        <v>6.6099999999999994</v>
      </c>
      <c r="L109" s="5">
        <f t="shared" si="10"/>
        <v>6.35</v>
      </c>
      <c r="M109" s="5">
        <f t="shared" si="11"/>
        <v>6.4000000000000001E-2</v>
      </c>
      <c r="N109" s="5">
        <f t="shared" si="12"/>
        <v>16.399999999999999</v>
      </c>
      <c r="O109" s="2">
        <v>233</v>
      </c>
      <c r="P109" s="4" t="s">
        <v>105</v>
      </c>
      <c r="Q109">
        <v>10.7</v>
      </c>
      <c r="R109">
        <v>18</v>
      </c>
      <c r="S109">
        <v>13</v>
      </c>
      <c r="T109">
        <v>34.4</v>
      </c>
      <c r="U109">
        <v>66.099999999999994</v>
      </c>
      <c r="V109">
        <v>63.5</v>
      </c>
      <c r="W109" t="s">
        <v>35</v>
      </c>
      <c r="X109" t="s">
        <v>34</v>
      </c>
      <c r="Y109" t="s">
        <v>34</v>
      </c>
      <c r="Z109" t="s">
        <v>36</v>
      </c>
      <c r="AA109">
        <v>6.4</v>
      </c>
      <c r="AB109">
        <v>164</v>
      </c>
      <c r="AC109" t="s">
        <v>215</v>
      </c>
    </row>
    <row r="110" spans="1:29" x14ac:dyDescent="0.35">
      <c r="A110" s="2" t="s">
        <v>301</v>
      </c>
      <c r="B110" s="2">
        <v>3</v>
      </c>
      <c r="C110" s="2">
        <v>37</v>
      </c>
      <c r="D110" s="2" t="s">
        <v>297</v>
      </c>
      <c r="E110" s="2">
        <v>3</v>
      </c>
      <c r="F110" s="2" t="s">
        <v>31</v>
      </c>
      <c r="G110" s="2">
        <v>1280</v>
      </c>
      <c r="H110" s="4" t="s">
        <v>302</v>
      </c>
      <c r="I110" s="2" t="str">
        <f t="shared" si="13"/>
        <v>3.37.3</v>
      </c>
      <c r="J110" s="5">
        <f t="shared" si="8"/>
        <v>5.13</v>
      </c>
      <c r="K110" s="5">
        <f t="shared" si="9"/>
        <v>6.1899999999999995</v>
      </c>
      <c r="L110" s="5">
        <f t="shared" si="10"/>
        <v>6.35</v>
      </c>
      <c r="M110" s="5">
        <f t="shared" si="11"/>
        <v>8.900000000000001E-2</v>
      </c>
      <c r="N110" s="5">
        <f t="shared" si="12"/>
        <v>17.670000000000002</v>
      </c>
      <c r="O110" s="2">
        <v>233</v>
      </c>
      <c r="P110" s="4" t="s">
        <v>105</v>
      </c>
      <c r="Q110">
        <v>16.3</v>
      </c>
      <c r="R110">
        <v>16</v>
      </c>
      <c r="S110">
        <v>13</v>
      </c>
      <c r="T110">
        <v>51.3</v>
      </c>
      <c r="U110">
        <v>61.9</v>
      </c>
      <c r="V110">
        <v>63.5</v>
      </c>
      <c r="W110" t="s">
        <v>35</v>
      </c>
      <c r="X110" t="s">
        <v>34</v>
      </c>
      <c r="Y110" t="s">
        <v>34</v>
      </c>
      <c r="Z110" t="s">
        <v>36</v>
      </c>
      <c r="AA110">
        <v>8.9</v>
      </c>
      <c r="AB110">
        <v>176.7</v>
      </c>
      <c r="AC110" t="s">
        <v>215</v>
      </c>
    </row>
    <row r="111" spans="1:29" x14ac:dyDescent="0.35">
      <c r="A111" s="2" t="s">
        <v>303</v>
      </c>
      <c r="B111" s="2">
        <v>3</v>
      </c>
      <c r="C111" s="2">
        <v>37</v>
      </c>
      <c r="D111" s="2" t="s">
        <v>297</v>
      </c>
      <c r="E111" s="2">
        <v>4</v>
      </c>
      <c r="F111" s="2" t="s">
        <v>47</v>
      </c>
      <c r="G111" s="2">
        <v>1118</v>
      </c>
      <c r="H111" s="4" t="s">
        <v>304</v>
      </c>
      <c r="I111" s="2" t="str">
        <f t="shared" si="13"/>
        <v>3.37.4</v>
      </c>
      <c r="J111" s="5">
        <f t="shared" si="8"/>
        <v>6.09</v>
      </c>
      <c r="K111" s="5">
        <f t="shared" si="9"/>
        <v>9.23</v>
      </c>
      <c r="L111" s="5">
        <f t="shared" si="10"/>
        <v>8.8099999999999987</v>
      </c>
      <c r="M111" s="5">
        <f t="shared" si="11"/>
        <v>-1.8000000000000002E-2</v>
      </c>
      <c r="N111" s="5">
        <f t="shared" si="12"/>
        <v>24.13</v>
      </c>
      <c r="O111" s="2">
        <v>343</v>
      </c>
      <c r="P111" s="4" t="s">
        <v>305</v>
      </c>
      <c r="Q111">
        <v>21</v>
      </c>
      <c r="R111">
        <v>35</v>
      </c>
      <c r="S111">
        <v>27</v>
      </c>
      <c r="T111">
        <v>60.9</v>
      </c>
      <c r="U111">
        <v>92.3</v>
      </c>
      <c r="V111">
        <v>88.1</v>
      </c>
      <c r="W111" t="s">
        <v>34</v>
      </c>
      <c r="X111" t="s">
        <v>306</v>
      </c>
      <c r="Y111" t="s">
        <v>34</v>
      </c>
      <c r="Z111" t="s">
        <v>36</v>
      </c>
      <c r="AA111">
        <v>-1.8</v>
      </c>
      <c r="AB111">
        <v>241.3</v>
      </c>
      <c r="AC111" t="s">
        <v>215</v>
      </c>
    </row>
    <row r="112" spans="1:29" x14ac:dyDescent="0.35">
      <c r="A112" s="2" t="s">
        <v>307</v>
      </c>
      <c r="B112" s="2">
        <v>4</v>
      </c>
      <c r="C112" s="2">
        <v>38</v>
      </c>
      <c r="D112" s="2" t="s">
        <v>308</v>
      </c>
      <c r="E112" s="2">
        <v>1</v>
      </c>
      <c r="F112" s="2" t="s">
        <v>31</v>
      </c>
      <c r="G112" s="2">
        <v>1315</v>
      </c>
      <c r="H112" s="4" t="s">
        <v>309</v>
      </c>
      <c r="I112" s="2" t="str">
        <f t="shared" si="13"/>
        <v>4.38.1</v>
      </c>
      <c r="J112" s="5">
        <f t="shared" si="8"/>
        <v>5.2700000000000005</v>
      </c>
      <c r="K112" s="5">
        <f t="shared" si="9"/>
        <v>8.35</v>
      </c>
      <c r="L112" s="5">
        <f t="shared" si="10"/>
        <v>6.1899999999999995</v>
      </c>
      <c r="M112" s="5">
        <f t="shared" si="11"/>
        <v>0.08</v>
      </c>
      <c r="N112" s="5">
        <f t="shared" si="12"/>
        <v>19.810000000000002</v>
      </c>
      <c r="O112" s="2">
        <v>233</v>
      </c>
      <c r="P112" s="4" t="s">
        <v>105</v>
      </c>
      <c r="Q112">
        <v>20</v>
      </c>
      <c r="R112">
        <v>41</v>
      </c>
      <c r="S112">
        <v>20</v>
      </c>
      <c r="T112">
        <v>52.7</v>
      </c>
      <c r="U112">
        <v>83.5</v>
      </c>
      <c r="V112">
        <v>61.9</v>
      </c>
      <c r="W112" t="s">
        <v>35</v>
      </c>
      <c r="X112" t="s">
        <v>34</v>
      </c>
      <c r="Y112" t="s">
        <v>34</v>
      </c>
      <c r="Z112" t="s">
        <v>36</v>
      </c>
      <c r="AA112">
        <v>8</v>
      </c>
      <c r="AB112">
        <v>198.1</v>
      </c>
      <c r="AC112" t="s">
        <v>310</v>
      </c>
    </row>
    <row r="113" spans="1:29" x14ac:dyDescent="0.35">
      <c r="A113" s="2" t="s">
        <v>311</v>
      </c>
      <c r="B113" s="2">
        <v>4</v>
      </c>
      <c r="C113" s="2">
        <v>38</v>
      </c>
      <c r="D113" s="2" t="s">
        <v>308</v>
      </c>
      <c r="E113" s="2">
        <v>2</v>
      </c>
      <c r="F113" s="2" t="s">
        <v>47</v>
      </c>
      <c r="G113" s="2">
        <v>1125</v>
      </c>
      <c r="H113" s="4" t="s">
        <v>312</v>
      </c>
      <c r="I113" s="2" t="str">
        <f t="shared" si="13"/>
        <v>4.38.2</v>
      </c>
      <c r="J113" s="5">
        <f t="shared" si="8"/>
        <v>5.67</v>
      </c>
      <c r="K113" s="5">
        <f t="shared" si="9"/>
        <v>7.4099999999999993</v>
      </c>
      <c r="L113" s="5">
        <f t="shared" si="10"/>
        <v>6.04</v>
      </c>
      <c r="M113" s="5">
        <f t="shared" si="11"/>
        <v>0.193</v>
      </c>
      <c r="N113" s="5">
        <f t="shared" si="12"/>
        <v>19.119999999999997</v>
      </c>
      <c r="O113" s="2">
        <v>233</v>
      </c>
      <c r="P113" s="4" t="s">
        <v>105</v>
      </c>
      <c r="Q113">
        <v>22</v>
      </c>
      <c r="R113">
        <v>26</v>
      </c>
      <c r="S113">
        <v>19</v>
      </c>
      <c r="T113">
        <v>56.7</v>
      </c>
      <c r="U113">
        <v>74.099999999999994</v>
      </c>
      <c r="V113">
        <v>60.4</v>
      </c>
      <c r="W113" t="s">
        <v>35</v>
      </c>
      <c r="X113" t="s">
        <v>34</v>
      </c>
      <c r="Y113" t="s">
        <v>34</v>
      </c>
      <c r="Z113" t="s">
        <v>292</v>
      </c>
      <c r="AA113">
        <v>19.3</v>
      </c>
      <c r="AB113">
        <v>191.2</v>
      </c>
      <c r="AC113" t="s">
        <v>310</v>
      </c>
    </row>
    <row r="114" spans="1:29" x14ac:dyDescent="0.35">
      <c r="A114" s="2" t="s">
        <v>313</v>
      </c>
      <c r="B114" s="2">
        <v>4</v>
      </c>
      <c r="C114" s="2">
        <v>39</v>
      </c>
      <c r="D114" s="2" t="s">
        <v>314</v>
      </c>
      <c r="E114" s="2">
        <v>1</v>
      </c>
      <c r="F114" s="2" t="s">
        <v>31</v>
      </c>
      <c r="G114" s="2">
        <v>1486</v>
      </c>
      <c r="H114" s="4" t="s">
        <v>315</v>
      </c>
      <c r="I114" s="2" t="str">
        <f t="shared" si="13"/>
        <v>4.39.1</v>
      </c>
      <c r="J114" s="5">
        <f t="shared" si="8"/>
        <v>5.67</v>
      </c>
      <c r="K114" s="5">
        <f t="shared" si="9"/>
        <v>7.18</v>
      </c>
      <c r="L114" s="5">
        <f t="shared" si="10"/>
        <v>6.34</v>
      </c>
      <c r="M114" s="5">
        <f t="shared" si="11"/>
        <v>0.19</v>
      </c>
      <c r="N114" s="5">
        <f t="shared" si="12"/>
        <v>19.189999999999998</v>
      </c>
      <c r="O114" s="2">
        <v>233</v>
      </c>
      <c r="P114" s="4" t="s">
        <v>105</v>
      </c>
      <c r="Q114">
        <v>22</v>
      </c>
      <c r="R114">
        <v>25</v>
      </c>
      <c r="S114">
        <v>21</v>
      </c>
      <c r="T114">
        <v>56.7</v>
      </c>
      <c r="U114">
        <v>71.8</v>
      </c>
      <c r="V114">
        <v>63.4</v>
      </c>
      <c r="W114" t="s">
        <v>35</v>
      </c>
      <c r="X114" t="s">
        <v>34</v>
      </c>
      <c r="Y114" t="s">
        <v>34</v>
      </c>
      <c r="Z114" t="s">
        <v>292</v>
      </c>
      <c r="AA114">
        <v>19</v>
      </c>
      <c r="AB114">
        <v>191.9</v>
      </c>
      <c r="AC114" t="s">
        <v>310</v>
      </c>
    </row>
    <row r="115" spans="1:29" x14ac:dyDescent="0.35">
      <c r="A115" s="2" t="s">
        <v>316</v>
      </c>
      <c r="B115" s="2">
        <v>4</v>
      </c>
      <c r="C115" s="2">
        <v>39</v>
      </c>
      <c r="D115" s="2" t="s">
        <v>314</v>
      </c>
      <c r="E115" s="2">
        <v>2</v>
      </c>
      <c r="F115" s="2" t="s">
        <v>47</v>
      </c>
      <c r="G115" s="2">
        <v>856</v>
      </c>
      <c r="H115" s="4" t="s">
        <v>317</v>
      </c>
      <c r="I115" s="2" t="str">
        <f t="shared" si="13"/>
        <v>4.39.2</v>
      </c>
      <c r="J115" s="5">
        <f t="shared" si="8"/>
        <v>5.39</v>
      </c>
      <c r="K115" s="5">
        <f t="shared" si="9"/>
        <v>6.33</v>
      </c>
      <c r="L115" s="5">
        <f t="shared" si="10"/>
        <v>6.7900000000000009</v>
      </c>
      <c r="M115" s="5">
        <f t="shared" si="11"/>
        <v>0.28499999999999998</v>
      </c>
      <c r="N115" s="5">
        <f t="shared" si="12"/>
        <v>18.509999999999998</v>
      </c>
      <c r="O115" s="2">
        <v>233</v>
      </c>
      <c r="P115" s="4" t="s">
        <v>105</v>
      </c>
      <c r="Q115">
        <v>20.5</v>
      </c>
      <c r="R115">
        <v>22</v>
      </c>
      <c r="S115">
        <v>24</v>
      </c>
      <c r="T115">
        <v>53.9</v>
      </c>
      <c r="U115">
        <v>63.3</v>
      </c>
      <c r="V115">
        <v>67.900000000000006</v>
      </c>
      <c r="W115" t="s">
        <v>35</v>
      </c>
      <c r="X115" t="s">
        <v>34</v>
      </c>
      <c r="Y115" t="s">
        <v>34</v>
      </c>
      <c r="Z115" t="s">
        <v>292</v>
      </c>
      <c r="AA115">
        <v>28.5</v>
      </c>
      <c r="AB115">
        <v>185.1</v>
      </c>
      <c r="AC115" t="s">
        <v>310</v>
      </c>
    </row>
    <row r="116" spans="1:29" x14ac:dyDescent="0.35">
      <c r="A116" s="2" t="s">
        <v>318</v>
      </c>
      <c r="B116" s="2">
        <v>4</v>
      </c>
      <c r="C116" s="2">
        <v>39</v>
      </c>
      <c r="D116" s="2" t="s">
        <v>314</v>
      </c>
      <c r="E116" s="2">
        <v>3</v>
      </c>
      <c r="F116" s="2" t="s">
        <v>31</v>
      </c>
      <c r="G116" s="2">
        <v>945</v>
      </c>
      <c r="H116" s="4" t="s">
        <v>319</v>
      </c>
      <c r="I116" s="2" t="str">
        <f t="shared" si="13"/>
        <v>4.39.3</v>
      </c>
      <c r="J116" s="5">
        <f t="shared" si="8"/>
        <v>6.7799999999999994</v>
      </c>
      <c r="K116" s="5">
        <f t="shared" si="9"/>
        <v>7.8900000000000006</v>
      </c>
      <c r="L116" s="5">
        <f t="shared" si="10"/>
        <v>7.0400000000000009</v>
      </c>
      <c r="M116" s="5">
        <f t="shared" si="11"/>
        <v>0.21100000000000002</v>
      </c>
      <c r="N116" s="5">
        <f t="shared" si="12"/>
        <v>21.71</v>
      </c>
      <c r="O116" s="2">
        <v>333</v>
      </c>
      <c r="P116" s="4" t="s">
        <v>83</v>
      </c>
      <c r="Q116">
        <v>30</v>
      </c>
      <c r="R116">
        <v>32</v>
      </c>
      <c r="S116">
        <v>27</v>
      </c>
      <c r="T116">
        <v>67.8</v>
      </c>
      <c r="U116">
        <v>78.900000000000006</v>
      </c>
      <c r="V116">
        <v>70.400000000000006</v>
      </c>
      <c r="W116" t="s">
        <v>34</v>
      </c>
      <c r="X116" t="s">
        <v>34</v>
      </c>
      <c r="Y116" t="s">
        <v>34</v>
      </c>
      <c r="Z116" t="s">
        <v>292</v>
      </c>
      <c r="AA116">
        <v>21.1</v>
      </c>
      <c r="AB116">
        <v>217.1</v>
      </c>
      <c r="AC116" t="s">
        <v>310</v>
      </c>
    </row>
    <row r="117" spans="1:29" x14ac:dyDescent="0.35">
      <c r="A117" s="2" t="s">
        <v>320</v>
      </c>
      <c r="B117" s="2">
        <v>4</v>
      </c>
      <c r="C117" s="2">
        <v>40</v>
      </c>
      <c r="D117" s="2" t="s">
        <v>321</v>
      </c>
      <c r="E117" s="2">
        <v>1</v>
      </c>
      <c r="F117" s="2" t="s">
        <v>47</v>
      </c>
      <c r="G117" s="2">
        <v>1032</v>
      </c>
      <c r="H117" s="4" t="s">
        <v>322</v>
      </c>
      <c r="I117" s="2" t="str">
        <f t="shared" si="13"/>
        <v>4.40.1</v>
      </c>
      <c r="J117" s="5">
        <f t="shared" si="8"/>
        <v>3.9299999999999997</v>
      </c>
      <c r="K117" s="5">
        <f t="shared" si="9"/>
        <v>5.04</v>
      </c>
      <c r="L117" s="5">
        <f t="shared" si="10"/>
        <v>6.34</v>
      </c>
      <c r="M117" s="5">
        <f t="shared" si="11"/>
        <v>0.41799999999999998</v>
      </c>
      <c r="N117" s="5">
        <f t="shared" si="12"/>
        <v>15.309999999999999</v>
      </c>
      <c r="O117" s="2">
        <v>223</v>
      </c>
      <c r="P117" s="4" t="s">
        <v>42</v>
      </c>
      <c r="Q117">
        <v>14</v>
      </c>
      <c r="R117">
        <v>15</v>
      </c>
      <c r="S117">
        <v>21</v>
      </c>
      <c r="T117">
        <v>39.299999999999997</v>
      </c>
      <c r="U117">
        <v>50.4</v>
      </c>
      <c r="V117">
        <v>63.4</v>
      </c>
      <c r="W117" t="s">
        <v>35</v>
      </c>
      <c r="X117" t="s">
        <v>35</v>
      </c>
      <c r="Y117" t="s">
        <v>34</v>
      </c>
      <c r="Z117" t="s">
        <v>323</v>
      </c>
      <c r="AA117">
        <v>41.8</v>
      </c>
      <c r="AB117">
        <v>153.1</v>
      </c>
      <c r="AC117" t="s">
        <v>310</v>
      </c>
    </row>
    <row r="118" spans="1:29" x14ac:dyDescent="0.35">
      <c r="A118" s="2" t="s">
        <v>324</v>
      </c>
      <c r="B118" s="2">
        <v>4</v>
      </c>
      <c r="C118" s="2">
        <v>40</v>
      </c>
      <c r="D118" s="2" t="s">
        <v>321</v>
      </c>
      <c r="E118" s="2">
        <v>2</v>
      </c>
      <c r="F118" s="2" t="s">
        <v>31</v>
      </c>
      <c r="G118" s="2">
        <v>1033</v>
      </c>
      <c r="H118" s="4" t="s">
        <v>325</v>
      </c>
      <c r="I118" s="2" t="str">
        <f t="shared" si="13"/>
        <v>4.40.2</v>
      </c>
      <c r="J118" s="5">
        <f t="shared" si="8"/>
        <v>4.8100000000000005</v>
      </c>
      <c r="K118" s="5">
        <f t="shared" si="9"/>
        <v>5.46</v>
      </c>
      <c r="L118" s="5">
        <f t="shared" si="10"/>
        <v>5.86</v>
      </c>
      <c r="M118" s="5">
        <f t="shared" si="11"/>
        <v>0.38700000000000001</v>
      </c>
      <c r="N118" s="5">
        <f t="shared" si="12"/>
        <v>16.13</v>
      </c>
      <c r="O118" s="2">
        <v>222</v>
      </c>
      <c r="P118" s="4" t="s">
        <v>65</v>
      </c>
      <c r="Q118">
        <v>18.5</v>
      </c>
      <c r="R118">
        <v>18</v>
      </c>
      <c r="S118">
        <v>18</v>
      </c>
      <c r="T118">
        <v>48.1</v>
      </c>
      <c r="U118">
        <v>54.6</v>
      </c>
      <c r="V118">
        <v>58.6</v>
      </c>
      <c r="W118" t="s">
        <v>35</v>
      </c>
      <c r="X118" t="s">
        <v>35</v>
      </c>
      <c r="Y118" t="s">
        <v>35</v>
      </c>
      <c r="Z118" t="s">
        <v>323</v>
      </c>
      <c r="AA118">
        <v>38.700000000000003</v>
      </c>
      <c r="AB118">
        <v>161.30000000000001</v>
      </c>
      <c r="AC118" t="s">
        <v>310</v>
      </c>
    </row>
    <row r="119" spans="1:29" x14ac:dyDescent="0.35">
      <c r="A119" s="2" t="s">
        <v>326</v>
      </c>
      <c r="B119" s="2">
        <v>4</v>
      </c>
      <c r="C119" s="2">
        <v>40</v>
      </c>
      <c r="D119" s="2" t="s">
        <v>321</v>
      </c>
      <c r="E119" s="2">
        <v>3</v>
      </c>
      <c r="F119" s="2" t="s">
        <v>47</v>
      </c>
      <c r="G119" s="2">
        <v>961</v>
      </c>
      <c r="H119" s="4" t="s">
        <v>327</v>
      </c>
      <c r="I119" s="2" t="str">
        <f t="shared" si="13"/>
        <v>4.40.3</v>
      </c>
      <c r="J119" s="5">
        <f t="shared" si="8"/>
        <v>5.67</v>
      </c>
      <c r="K119" s="5">
        <f t="shared" si="9"/>
        <v>6.12</v>
      </c>
      <c r="L119" s="5">
        <f t="shared" si="10"/>
        <v>5.86</v>
      </c>
      <c r="M119" s="5">
        <f t="shared" si="11"/>
        <v>0.34</v>
      </c>
      <c r="N119" s="5">
        <f t="shared" si="12"/>
        <v>17.649999999999999</v>
      </c>
      <c r="O119" s="2">
        <v>232</v>
      </c>
      <c r="P119" s="4" t="s">
        <v>61</v>
      </c>
      <c r="Q119">
        <v>22</v>
      </c>
      <c r="R119">
        <v>21</v>
      </c>
      <c r="S119">
        <v>18</v>
      </c>
      <c r="T119">
        <v>56.7</v>
      </c>
      <c r="U119">
        <v>61.2</v>
      </c>
      <c r="V119">
        <v>58.6</v>
      </c>
      <c r="W119" t="s">
        <v>35</v>
      </c>
      <c r="X119" t="s">
        <v>34</v>
      </c>
      <c r="Y119" t="s">
        <v>35</v>
      </c>
      <c r="Z119" t="s">
        <v>292</v>
      </c>
      <c r="AA119">
        <v>34</v>
      </c>
      <c r="AB119">
        <v>176.5</v>
      </c>
      <c r="AC119" t="s">
        <v>310</v>
      </c>
    </row>
    <row r="120" spans="1:29" x14ac:dyDescent="0.35">
      <c r="A120" s="2" t="s">
        <v>328</v>
      </c>
      <c r="B120" s="2">
        <v>4</v>
      </c>
      <c r="C120" s="2">
        <v>41</v>
      </c>
      <c r="D120" s="2" t="s">
        <v>329</v>
      </c>
      <c r="E120" s="2">
        <v>1</v>
      </c>
      <c r="F120" s="2" t="s">
        <v>31</v>
      </c>
      <c r="G120" s="2">
        <v>1074</v>
      </c>
      <c r="H120" s="4" t="s">
        <v>330</v>
      </c>
      <c r="I120" s="2" t="str">
        <f t="shared" si="13"/>
        <v>4.41.1</v>
      </c>
      <c r="J120" s="5">
        <f t="shared" si="8"/>
        <v>4.34</v>
      </c>
      <c r="K120" s="5">
        <f t="shared" si="9"/>
        <v>5.96</v>
      </c>
      <c r="L120" s="5">
        <f t="shared" si="10"/>
        <v>5.41</v>
      </c>
      <c r="M120" s="5">
        <f t="shared" si="11"/>
        <v>0.23300000000000001</v>
      </c>
      <c r="N120" s="5">
        <f t="shared" si="12"/>
        <v>15.71</v>
      </c>
      <c r="O120" s="2">
        <v>222</v>
      </c>
      <c r="P120" s="4" t="s">
        <v>65</v>
      </c>
      <c r="Q120">
        <v>16</v>
      </c>
      <c r="R120">
        <v>20</v>
      </c>
      <c r="S120">
        <v>14</v>
      </c>
      <c r="T120">
        <v>43.4</v>
      </c>
      <c r="U120">
        <v>59.6</v>
      </c>
      <c r="V120">
        <v>54.1</v>
      </c>
      <c r="W120" t="s">
        <v>35</v>
      </c>
      <c r="X120" t="s">
        <v>35</v>
      </c>
      <c r="Y120" t="s">
        <v>35</v>
      </c>
      <c r="Z120" t="s">
        <v>292</v>
      </c>
      <c r="AA120">
        <v>23.3</v>
      </c>
      <c r="AB120">
        <v>157.1</v>
      </c>
      <c r="AC120" t="s">
        <v>310</v>
      </c>
    </row>
    <row r="121" spans="1:29" x14ac:dyDescent="0.35">
      <c r="A121" s="2" t="s">
        <v>331</v>
      </c>
      <c r="B121" s="2">
        <v>4</v>
      </c>
      <c r="C121" s="2">
        <v>41</v>
      </c>
      <c r="D121" s="2" t="s">
        <v>329</v>
      </c>
      <c r="E121" s="2">
        <v>2</v>
      </c>
      <c r="F121" s="2" t="s">
        <v>47</v>
      </c>
      <c r="G121" s="2">
        <v>922</v>
      </c>
      <c r="H121" s="4" t="s">
        <v>332</v>
      </c>
      <c r="I121" s="2" t="str">
        <f t="shared" si="13"/>
        <v>4.41.2</v>
      </c>
      <c r="J121" s="5">
        <f t="shared" si="8"/>
        <v>4.59</v>
      </c>
      <c r="K121" s="5">
        <f t="shared" si="9"/>
        <v>6.9099999999999993</v>
      </c>
      <c r="L121" s="5">
        <f t="shared" si="10"/>
        <v>6.7900000000000009</v>
      </c>
      <c r="M121" s="5">
        <f t="shared" si="11"/>
        <v>0.26500000000000001</v>
      </c>
      <c r="N121" s="5">
        <f t="shared" si="12"/>
        <v>18.29</v>
      </c>
      <c r="O121" s="2">
        <v>233</v>
      </c>
      <c r="P121" s="4" t="s">
        <v>105</v>
      </c>
      <c r="Q121">
        <v>17.5</v>
      </c>
      <c r="R121">
        <v>24</v>
      </c>
      <c r="S121">
        <v>24</v>
      </c>
      <c r="T121">
        <v>45.9</v>
      </c>
      <c r="U121">
        <v>69.099999999999994</v>
      </c>
      <c r="V121">
        <v>67.900000000000006</v>
      </c>
      <c r="W121" t="s">
        <v>35</v>
      </c>
      <c r="X121" t="s">
        <v>34</v>
      </c>
      <c r="Y121" t="s">
        <v>34</v>
      </c>
      <c r="Z121" t="s">
        <v>292</v>
      </c>
      <c r="AA121">
        <v>26.5</v>
      </c>
      <c r="AB121">
        <v>182.9</v>
      </c>
      <c r="AC121" t="s">
        <v>310</v>
      </c>
    </row>
    <row r="122" spans="1:29" x14ac:dyDescent="0.35">
      <c r="A122" s="2" t="s">
        <v>333</v>
      </c>
      <c r="B122" s="2">
        <v>4</v>
      </c>
      <c r="C122" s="2">
        <v>41</v>
      </c>
      <c r="D122" s="2" t="s">
        <v>329</v>
      </c>
      <c r="E122" s="2">
        <v>3</v>
      </c>
      <c r="F122" s="2" t="s">
        <v>47</v>
      </c>
      <c r="G122" s="2">
        <v>1116</v>
      </c>
      <c r="H122" s="4" t="s">
        <v>334</v>
      </c>
      <c r="I122" s="2" t="str">
        <f t="shared" si="13"/>
        <v>4.41.3</v>
      </c>
      <c r="J122" s="5">
        <f t="shared" si="8"/>
        <v>6.69</v>
      </c>
      <c r="K122" s="5">
        <f t="shared" si="9"/>
        <v>7.18</v>
      </c>
      <c r="L122" s="5">
        <f t="shared" si="10"/>
        <v>4.62</v>
      </c>
      <c r="M122" s="5">
        <f t="shared" si="11"/>
        <v>0.16200000000000001</v>
      </c>
      <c r="N122" s="5">
        <f t="shared" si="12"/>
        <v>18.490000000000002</v>
      </c>
      <c r="O122" s="2">
        <v>332</v>
      </c>
      <c r="P122" s="4" t="s">
        <v>225</v>
      </c>
      <c r="Q122">
        <v>29</v>
      </c>
      <c r="R122">
        <v>25</v>
      </c>
      <c r="S122">
        <v>12</v>
      </c>
      <c r="T122">
        <v>66.900000000000006</v>
      </c>
      <c r="U122">
        <v>71.8</v>
      </c>
      <c r="V122">
        <v>46.2</v>
      </c>
      <c r="W122" t="s">
        <v>34</v>
      </c>
      <c r="X122" t="s">
        <v>34</v>
      </c>
      <c r="Y122" t="s">
        <v>35</v>
      </c>
      <c r="Z122" t="s">
        <v>292</v>
      </c>
      <c r="AA122">
        <v>16.2</v>
      </c>
      <c r="AB122">
        <v>184.9</v>
      </c>
      <c r="AC122" t="s">
        <v>310</v>
      </c>
    </row>
    <row r="123" spans="1:29" x14ac:dyDescent="0.35">
      <c r="A123" s="2" t="s">
        <v>335</v>
      </c>
      <c r="B123" s="2">
        <v>4</v>
      </c>
      <c r="C123" s="2">
        <v>42</v>
      </c>
      <c r="D123" s="2" t="s">
        <v>336</v>
      </c>
      <c r="E123" s="2">
        <v>1</v>
      </c>
      <c r="F123" s="2" t="s">
        <v>47</v>
      </c>
      <c r="G123" s="2">
        <v>1375</v>
      </c>
      <c r="H123" s="4" t="s">
        <v>337</v>
      </c>
      <c r="I123" s="2" t="str">
        <f t="shared" si="13"/>
        <v>4.42.1</v>
      </c>
      <c r="J123" s="5">
        <f t="shared" si="8"/>
        <v>3.4299999999999997</v>
      </c>
      <c r="K123" s="5">
        <f t="shared" si="9"/>
        <v>4.58</v>
      </c>
      <c r="L123" s="5">
        <f t="shared" si="10"/>
        <v>5.0299999999999994</v>
      </c>
      <c r="M123" s="5">
        <f t="shared" si="11"/>
        <v>0.312</v>
      </c>
      <c r="N123" s="5">
        <f t="shared" si="12"/>
        <v>13.04</v>
      </c>
      <c r="O123" s="2">
        <v>222</v>
      </c>
      <c r="P123" s="4" t="s">
        <v>65</v>
      </c>
      <c r="Q123">
        <v>13</v>
      </c>
      <c r="R123">
        <v>14</v>
      </c>
      <c r="S123">
        <v>13</v>
      </c>
      <c r="T123">
        <v>34.299999999999997</v>
      </c>
      <c r="U123">
        <v>45.8</v>
      </c>
      <c r="V123">
        <v>50.3</v>
      </c>
      <c r="W123" t="s">
        <v>35</v>
      </c>
      <c r="X123" t="s">
        <v>35</v>
      </c>
      <c r="Y123" t="s">
        <v>35</v>
      </c>
      <c r="Z123" t="s">
        <v>292</v>
      </c>
      <c r="AA123">
        <v>31.2</v>
      </c>
      <c r="AB123">
        <v>130.4</v>
      </c>
      <c r="AC123" t="s">
        <v>310</v>
      </c>
    </row>
    <row r="124" spans="1:29" x14ac:dyDescent="0.35">
      <c r="A124" s="2" t="s">
        <v>338</v>
      </c>
      <c r="B124" s="2">
        <v>4</v>
      </c>
      <c r="C124" s="2">
        <v>42</v>
      </c>
      <c r="D124" s="2" t="s">
        <v>336</v>
      </c>
      <c r="E124" s="2">
        <v>2</v>
      </c>
      <c r="F124" s="2" t="s">
        <v>31</v>
      </c>
      <c r="G124" s="2">
        <v>827</v>
      </c>
      <c r="H124" s="4" t="s">
        <v>339</v>
      </c>
      <c r="I124" s="2" t="str">
        <f t="shared" si="13"/>
        <v>4.42.2</v>
      </c>
      <c r="J124" s="5">
        <f t="shared" si="8"/>
        <v>2.6</v>
      </c>
      <c r="K124" s="5">
        <f t="shared" si="9"/>
        <v>5.2799999999999994</v>
      </c>
      <c r="L124" s="5">
        <f t="shared" si="10"/>
        <v>6.04</v>
      </c>
      <c r="M124" s="5">
        <f t="shared" si="11"/>
        <v>0.374</v>
      </c>
      <c r="N124" s="5">
        <f t="shared" si="12"/>
        <v>13.919999999999998</v>
      </c>
      <c r="O124" s="2">
        <v>123</v>
      </c>
      <c r="P124" s="4" t="s">
        <v>238</v>
      </c>
      <c r="Q124">
        <v>12.5</v>
      </c>
      <c r="R124">
        <v>17</v>
      </c>
      <c r="S124">
        <v>19</v>
      </c>
      <c r="T124">
        <v>26</v>
      </c>
      <c r="U124">
        <v>52.8</v>
      </c>
      <c r="V124">
        <v>60.4</v>
      </c>
      <c r="W124" t="s">
        <v>50</v>
      </c>
      <c r="X124" t="s">
        <v>35</v>
      </c>
      <c r="Y124" t="s">
        <v>34</v>
      </c>
      <c r="Z124" t="s">
        <v>292</v>
      </c>
      <c r="AA124">
        <v>37.4</v>
      </c>
      <c r="AB124">
        <v>139.19999999999999</v>
      </c>
      <c r="AC124" t="s">
        <v>310</v>
      </c>
    </row>
    <row r="125" spans="1:29" x14ac:dyDescent="0.35">
      <c r="A125" s="2" t="s">
        <v>340</v>
      </c>
      <c r="B125" s="2">
        <v>4</v>
      </c>
      <c r="C125" s="2">
        <v>42</v>
      </c>
      <c r="D125" s="2" t="s">
        <v>336</v>
      </c>
      <c r="E125" s="2">
        <v>3</v>
      </c>
      <c r="F125" s="2" t="s">
        <v>47</v>
      </c>
      <c r="G125" s="2">
        <v>837</v>
      </c>
      <c r="H125" s="4" t="s">
        <v>341</v>
      </c>
      <c r="I125" s="2" t="str">
        <f t="shared" si="13"/>
        <v>4.42.3</v>
      </c>
      <c r="J125" s="5">
        <f t="shared" si="8"/>
        <v>5.67</v>
      </c>
      <c r="K125" s="5">
        <f t="shared" si="9"/>
        <v>5.7200000000000006</v>
      </c>
      <c r="L125" s="5">
        <f t="shared" si="10"/>
        <v>6.99</v>
      </c>
      <c r="M125" s="5">
        <f t="shared" si="11"/>
        <v>0.433</v>
      </c>
      <c r="N125" s="5">
        <f t="shared" si="12"/>
        <v>18.380000000000003</v>
      </c>
      <c r="O125" s="2">
        <v>223</v>
      </c>
      <c r="P125" s="4" t="s">
        <v>42</v>
      </c>
      <c r="Q125">
        <v>22</v>
      </c>
      <c r="R125">
        <v>19</v>
      </c>
      <c r="S125">
        <v>26</v>
      </c>
      <c r="T125">
        <v>56.7</v>
      </c>
      <c r="U125">
        <v>57.2</v>
      </c>
      <c r="V125">
        <v>69.900000000000006</v>
      </c>
      <c r="W125" t="s">
        <v>35</v>
      </c>
      <c r="X125" t="s">
        <v>35</v>
      </c>
      <c r="Y125" t="s">
        <v>34</v>
      </c>
      <c r="Z125" t="s">
        <v>292</v>
      </c>
      <c r="AA125">
        <v>43.3</v>
      </c>
      <c r="AB125">
        <v>183.8</v>
      </c>
      <c r="AC125" t="s">
        <v>310</v>
      </c>
    </row>
    <row r="126" spans="1:29" x14ac:dyDescent="0.35">
      <c r="A126" s="2" t="s">
        <v>342</v>
      </c>
      <c r="B126" s="2">
        <v>4</v>
      </c>
      <c r="C126" s="2">
        <v>43</v>
      </c>
      <c r="D126" s="2" t="s">
        <v>343</v>
      </c>
      <c r="E126" s="2">
        <v>1</v>
      </c>
      <c r="F126" s="2" t="s">
        <v>31</v>
      </c>
      <c r="G126" s="2">
        <v>1055</v>
      </c>
      <c r="H126" s="4" t="s">
        <v>344</v>
      </c>
      <c r="I126" s="2" t="str">
        <f t="shared" si="13"/>
        <v>4.43.1</v>
      </c>
      <c r="J126" s="5">
        <f t="shared" si="8"/>
        <v>4.96</v>
      </c>
      <c r="K126" s="5">
        <f t="shared" si="9"/>
        <v>6.9099999999999993</v>
      </c>
      <c r="L126" s="5">
        <f t="shared" si="10"/>
        <v>6.1899999999999995</v>
      </c>
      <c r="M126" s="5">
        <f t="shared" si="11"/>
        <v>0.40899999999999997</v>
      </c>
      <c r="N126" s="5">
        <f t="shared" si="12"/>
        <v>18.059999999999999</v>
      </c>
      <c r="O126" s="2">
        <v>233</v>
      </c>
      <c r="P126" s="4" t="s">
        <v>105</v>
      </c>
      <c r="Q126">
        <v>19</v>
      </c>
      <c r="R126">
        <v>24</v>
      </c>
      <c r="S126">
        <v>20</v>
      </c>
      <c r="T126">
        <v>49.6</v>
      </c>
      <c r="U126">
        <v>69.099999999999994</v>
      </c>
      <c r="V126">
        <v>61.9</v>
      </c>
      <c r="W126" t="s">
        <v>35</v>
      </c>
      <c r="X126" t="s">
        <v>34</v>
      </c>
      <c r="Y126" t="s">
        <v>34</v>
      </c>
      <c r="Z126" t="s">
        <v>323</v>
      </c>
      <c r="AA126">
        <v>40.9</v>
      </c>
      <c r="AB126">
        <v>180.6</v>
      </c>
      <c r="AC126" t="s">
        <v>310</v>
      </c>
    </row>
    <row r="127" spans="1:29" x14ac:dyDescent="0.35">
      <c r="A127" s="2" t="s">
        <v>345</v>
      </c>
      <c r="B127" s="2">
        <v>4</v>
      </c>
      <c r="C127" s="2">
        <v>43</v>
      </c>
      <c r="D127" s="2" t="s">
        <v>343</v>
      </c>
      <c r="E127" s="2">
        <v>2</v>
      </c>
      <c r="F127" s="2" t="s">
        <v>47</v>
      </c>
      <c r="G127" s="2">
        <v>1202</v>
      </c>
      <c r="H127" s="4" t="s">
        <v>346</v>
      </c>
      <c r="I127" s="2" t="str">
        <f t="shared" si="13"/>
        <v>4.43.2</v>
      </c>
      <c r="J127" s="5">
        <f t="shared" si="8"/>
        <v>5.0999999999999996</v>
      </c>
      <c r="K127" s="5">
        <f t="shared" si="9"/>
        <v>5.7200000000000006</v>
      </c>
      <c r="L127" s="5">
        <f t="shared" si="10"/>
        <v>5.6899999999999995</v>
      </c>
      <c r="M127" s="5">
        <f t="shared" si="11"/>
        <v>0.33</v>
      </c>
      <c r="N127" s="5">
        <f t="shared" si="12"/>
        <v>16.509999999999998</v>
      </c>
      <c r="O127" s="2">
        <v>222</v>
      </c>
      <c r="P127" s="4" t="s">
        <v>65</v>
      </c>
      <c r="Q127">
        <v>19.5</v>
      </c>
      <c r="R127">
        <v>19</v>
      </c>
      <c r="S127">
        <v>15</v>
      </c>
      <c r="T127">
        <v>51</v>
      </c>
      <c r="U127">
        <v>57.2</v>
      </c>
      <c r="V127">
        <v>56.9</v>
      </c>
      <c r="W127" t="s">
        <v>35</v>
      </c>
      <c r="X127" t="s">
        <v>35</v>
      </c>
      <c r="Y127" t="s">
        <v>35</v>
      </c>
      <c r="Z127" t="s">
        <v>292</v>
      </c>
      <c r="AA127">
        <v>33</v>
      </c>
      <c r="AB127">
        <v>165.1</v>
      </c>
      <c r="AC127" t="s">
        <v>310</v>
      </c>
    </row>
    <row r="128" spans="1:29" x14ac:dyDescent="0.35">
      <c r="A128" s="2" t="s">
        <v>347</v>
      </c>
      <c r="B128" s="2">
        <v>4</v>
      </c>
      <c r="C128" s="2">
        <v>43</v>
      </c>
      <c r="D128" s="2" t="s">
        <v>343</v>
      </c>
      <c r="E128" s="2">
        <v>3</v>
      </c>
      <c r="F128" s="2" t="s">
        <v>31</v>
      </c>
      <c r="G128" s="2">
        <v>919</v>
      </c>
      <c r="H128" s="4" t="s">
        <v>348</v>
      </c>
      <c r="I128" s="2" t="str">
        <f t="shared" si="13"/>
        <v>4.43.3</v>
      </c>
      <c r="J128" s="5">
        <f t="shared" si="8"/>
        <v>5.67</v>
      </c>
      <c r="K128" s="5">
        <f t="shared" si="9"/>
        <v>7.57</v>
      </c>
      <c r="L128" s="5">
        <f t="shared" si="10"/>
        <v>6.04</v>
      </c>
      <c r="M128" s="5">
        <f t="shared" si="11"/>
        <v>0.35</v>
      </c>
      <c r="N128" s="5">
        <f t="shared" si="12"/>
        <v>19.28</v>
      </c>
      <c r="O128" s="2">
        <v>233</v>
      </c>
      <c r="P128" s="4" t="s">
        <v>105</v>
      </c>
      <c r="Q128">
        <v>22</v>
      </c>
      <c r="R128">
        <v>29</v>
      </c>
      <c r="S128">
        <v>19</v>
      </c>
      <c r="T128">
        <v>56.7</v>
      </c>
      <c r="U128">
        <v>75.7</v>
      </c>
      <c r="V128">
        <v>60.4</v>
      </c>
      <c r="W128" t="s">
        <v>35</v>
      </c>
      <c r="X128" t="s">
        <v>34</v>
      </c>
      <c r="Y128" t="s">
        <v>34</v>
      </c>
      <c r="Z128" t="s">
        <v>292</v>
      </c>
      <c r="AA128">
        <v>35</v>
      </c>
      <c r="AB128">
        <v>192.8</v>
      </c>
      <c r="AC128" t="s">
        <v>310</v>
      </c>
    </row>
    <row r="129" spans="1:29" x14ac:dyDescent="0.35">
      <c r="A129" s="2" t="s">
        <v>349</v>
      </c>
      <c r="B129" s="2">
        <v>4</v>
      </c>
      <c r="C129" s="2">
        <v>44</v>
      </c>
      <c r="D129" s="2" t="s">
        <v>350</v>
      </c>
      <c r="E129" s="2">
        <v>1</v>
      </c>
      <c r="F129" s="2" t="s">
        <v>31</v>
      </c>
      <c r="G129" s="2">
        <v>790</v>
      </c>
      <c r="H129" s="4" t="s">
        <v>351</v>
      </c>
      <c r="I129" s="2" t="str">
        <f t="shared" si="13"/>
        <v>4.44.1</v>
      </c>
      <c r="J129" s="5">
        <f t="shared" si="8"/>
        <v>3.4299999999999997</v>
      </c>
      <c r="K129" s="5">
        <f t="shared" si="9"/>
        <v>6.6</v>
      </c>
      <c r="L129" s="5">
        <f t="shared" si="10"/>
        <v>5.41</v>
      </c>
      <c r="M129" s="5">
        <f t="shared" si="11"/>
        <v>0.36799999999999999</v>
      </c>
      <c r="N129" s="5">
        <f t="shared" si="12"/>
        <v>15.44</v>
      </c>
      <c r="O129" s="2">
        <v>232</v>
      </c>
      <c r="P129" s="4" t="s">
        <v>61</v>
      </c>
      <c r="Q129">
        <v>13</v>
      </c>
      <c r="R129">
        <v>23</v>
      </c>
      <c r="S129">
        <v>14</v>
      </c>
      <c r="T129">
        <v>34.299999999999997</v>
      </c>
      <c r="U129">
        <v>66</v>
      </c>
      <c r="V129">
        <v>54.1</v>
      </c>
      <c r="W129" t="s">
        <v>35</v>
      </c>
      <c r="X129" t="s">
        <v>34</v>
      </c>
      <c r="Y129" t="s">
        <v>35</v>
      </c>
      <c r="Z129" t="s">
        <v>323</v>
      </c>
      <c r="AA129">
        <v>36.799999999999997</v>
      </c>
      <c r="AB129">
        <v>154.4</v>
      </c>
      <c r="AC129" t="s">
        <v>310</v>
      </c>
    </row>
    <row r="130" spans="1:29" x14ac:dyDescent="0.35">
      <c r="A130" s="2" t="s">
        <v>352</v>
      </c>
      <c r="B130" s="2">
        <v>4</v>
      </c>
      <c r="C130" s="2">
        <v>44</v>
      </c>
      <c r="D130" s="2" t="s">
        <v>350</v>
      </c>
      <c r="E130" s="2">
        <v>2</v>
      </c>
      <c r="F130" s="2" t="s">
        <v>47</v>
      </c>
      <c r="G130" s="2">
        <v>936</v>
      </c>
      <c r="H130" s="4" t="s">
        <v>353</v>
      </c>
      <c r="I130" s="2" t="str">
        <f t="shared" ref="I130:I161" si="14">B130&amp;"."&amp;C130&amp;"."&amp;E130</f>
        <v>4.44.2</v>
      </c>
      <c r="J130" s="5">
        <f t="shared" si="8"/>
        <v>5.39</v>
      </c>
      <c r="K130" s="5">
        <f t="shared" si="9"/>
        <v>8.23</v>
      </c>
      <c r="L130" s="5">
        <f t="shared" si="10"/>
        <v>6.92</v>
      </c>
      <c r="M130" s="5">
        <f t="shared" si="11"/>
        <v>0.48399999999999999</v>
      </c>
      <c r="N130" s="5">
        <f t="shared" si="12"/>
        <v>20.54</v>
      </c>
      <c r="O130" s="2">
        <v>233</v>
      </c>
      <c r="P130" s="4" t="s">
        <v>105</v>
      </c>
      <c r="Q130">
        <v>20.5</v>
      </c>
      <c r="R130">
        <v>34</v>
      </c>
      <c r="S130">
        <v>25</v>
      </c>
      <c r="T130">
        <v>53.9</v>
      </c>
      <c r="U130">
        <v>82.3</v>
      </c>
      <c r="V130">
        <v>69.2</v>
      </c>
      <c r="W130" t="s">
        <v>35</v>
      </c>
      <c r="X130" t="s">
        <v>34</v>
      </c>
      <c r="Y130" t="s">
        <v>34</v>
      </c>
      <c r="Z130" t="s">
        <v>323</v>
      </c>
      <c r="AA130">
        <v>48.4</v>
      </c>
      <c r="AB130">
        <v>205.4</v>
      </c>
      <c r="AC130" t="s">
        <v>310</v>
      </c>
    </row>
    <row r="131" spans="1:29" x14ac:dyDescent="0.35">
      <c r="A131" s="2" t="s">
        <v>354</v>
      </c>
      <c r="B131" s="2">
        <v>4</v>
      </c>
      <c r="C131" s="2">
        <v>44</v>
      </c>
      <c r="D131" s="2" t="s">
        <v>350</v>
      </c>
      <c r="E131" s="2">
        <v>3</v>
      </c>
      <c r="F131" s="2" t="s">
        <v>31</v>
      </c>
      <c r="G131" s="2">
        <v>1175</v>
      </c>
      <c r="H131" s="4" t="s">
        <v>355</v>
      </c>
      <c r="I131" s="2" t="str">
        <f t="shared" si="14"/>
        <v>4.44.3</v>
      </c>
      <c r="J131" s="5">
        <f t="shared" ref="J131:J161" si="15">T131/10</f>
        <v>4.96</v>
      </c>
      <c r="K131" s="5">
        <f t="shared" ref="K131:K161" si="16">U131/10</f>
        <v>7.67</v>
      </c>
      <c r="L131" s="5">
        <f t="shared" ref="L131:L161" si="17">V131/10</f>
        <v>5.41</v>
      </c>
      <c r="M131" s="5">
        <f t="shared" ref="M131:M161" si="18">AA131/100</f>
        <v>0.36799999999999999</v>
      </c>
      <c r="N131" s="5">
        <f t="shared" ref="N131:N161" si="19">SUM(J131:L131)</f>
        <v>18.04</v>
      </c>
      <c r="O131" s="2">
        <v>232</v>
      </c>
      <c r="P131" s="4" t="s">
        <v>61</v>
      </c>
      <c r="Q131">
        <v>19</v>
      </c>
      <c r="R131">
        <v>31</v>
      </c>
      <c r="S131">
        <v>14</v>
      </c>
      <c r="T131">
        <v>49.6</v>
      </c>
      <c r="U131">
        <v>76.7</v>
      </c>
      <c r="V131">
        <v>54.1</v>
      </c>
      <c r="W131" t="s">
        <v>35</v>
      </c>
      <c r="X131" t="s">
        <v>34</v>
      </c>
      <c r="Y131" t="s">
        <v>35</v>
      </c>
      <c r="Z131" t="s">
        <v>323</v>
      </c>
      <c r="AA131">
        <v>36.799999999999997</v>
      </c>
      <c r="AB131">
        <v>180.4</v>
      </c>
      <c r="AC131" t="s">
        <v>310</v>
      </c>
    </row>
    <row r="132" spans="1:29" x14ac:dyDescent="0.35">
      <c r="A132" s="2" t="s">
        <v>356</v>
      </c>
      <c r="B132" s="2">
        <v>4</v>
      </c>
      <c r="C132" s="2">
        <v>45</v>
      </c>
      <c r="D132" s="2" t="s">
        <v>357</v>
      </c>
      <c r="E132" s="2">
        <v>1</v>
      </c>
      <c r="F132" s="2" t="s">
        <v>31</v>
      </c>
      <c r="G132" s="2">
        <v>834</v>
      </c>
      <c r="H132" s="4" t="s">
        <v>358</v>
      </c>
      <c r="I132" s="2" t="str">
        <f t="shared" si="14"/>
        <v>4.45.1</v>
      </c>
      <c r="J132" s="5">
        <f t="shared" si="15"/>
        <v>3.9299999999999997</v>
      </c>
      <c r="K132" s="5">
        <f t="shared" si="16"/>
        <v>7.8900000000000006</v>
      </c>
      <c r="L132" s="5">
        <f t="shared" si="17"/>
        <v>7.65</v>
      </c>
      <c r="M132" s="5">
        <f t="shared" si="18"/>
        <v>0.53600000000000003</v>
      </c>
      <c r="N132" s="5">
        <f t="shared" si="19"/>
        <v>19.47</v>
      </c>
      <c r="O132" s="2">
        <v>233</v>
      </c>
      <c r="P132" s="4" t="s">
        <v>105</v>
      </c>
      <c r="Q132">
        <v>14</v>
      </c>
      <c r="R132">
        <v>32</v>
      </c>
      <c r="S132">
        <v>38</v>
      </c>
      <c r="T132">
        <v>39.299999999999997</v>
      </c>
      <c r="U132">
        <v>78.900000000000006</v>
      </c>
      <c r="V132">
        <v>76.5</v>
      </c>
      <c r="W132" t="s">
        <v>35</v>
      </c>
      <c r="X132" t="s">
        <v>34</v>
      </c>
      <c r="Y132" t="s">
        <v>34</v>
      </c>
      <c r="Z132" t="s">
        <v>323</v>
      </c>
      <c r="AA132">
        <v>53.6</v>
      </c>
      <c r="AB132">
        <v>194.7</v>
      </c>
      <c r="AC132" t="s">
        <v>310</v>
      </c>
    </row>
    <row r="133" spans="1:29" x14ac:dyDescent="0.35">
      <c r="A133" s="2" t="s">
        <v>359</v>
      </c>
      <c r="B133" s="2">
        <v>4</v>
      </c>
      <c r="C133" s="2">
        <v>45</v>
      </c>
      <c r="D133" s="2" t="s">
        <v>357</v>
      </c>
      <c r="E133" s="2">
        <v>2</v>
      </c>
      <c r="F133" s="2" t="s">
        <v>47</v>
      </c>
      <c r="G133" s="2">
        <v>523</v>
      </c>
      <c r="H133" s="4" t="s">
        <v>360</v>
      </c>
      <c r="I133" s="2" t="str">
        <f t="shared" si="14"/>
        <v>4.45.2</v>
      </c>
      <c r="J133" s="5">
        <f t="shared" si="15"/>
        <v>4.1899999999999995</v>
      </c>
      <c r="K133" s="5">
        <f t="shared" si="16"/>
        <v>7.67</v>
      </c>
      <c r="L133" s="5">
        <f t="shared" si="17"/>
        <v>8.02</v>
      </c>
      <c r="M133" s="5">
        <f t="shared" si="18"/>
        <v>0.70599999999999996</v>
      </c>
      <c r="N133" s="5">
        <f t="shared" si="19"/>
        <v>19.88</v>
      </c>
      <c r="O133" s="2">
        <v>233</v>
      </c>
      <c r="P133" s="4" t="s">
        <v>105</v>
      </c>
      <c r="Q133">
        <v>15.5</v>
      </c>
      <c r="R133">
        <v>31</v>
      </c>
      <c r="S133">
        <v>46</v>
      </c>
      <c r="T133">
        <v>41.9</v>
      </c>
      <c r="U133">
        <v>76.7</v>
      </c>
      <c r="V133">
        <v>80.2</v>
      </c>
      <c r="W133" t="s">
        <v>35</v>
      </c>
      <c r="X133" t="s">
        <v>34</v>
      </c>
      <c r="Y133" t="s">
        <v>34</v>
      </c>
      <c r="Z133" t="s">
        <v>323</v>
      </c>
      <c r="AA133">
        <v>70.599999999999994</v>
      </c>
      <c r="AB133">
        <v>198.8</v>
      </c>
      <c r="AC133" t="s">
        <v>310</v>
      </c>
    </row>
    <row r="134" spans="1:29" x14ac:dyDescent="0.35">
      <c r="A134" s="2" t="s">
        <v>361</v>
      </c>
      <c r="B134" s="2">
        <v>4</v>
      </c>
      <c r="C134" s="2">
        <v>45</v>
      </c>
      <c r="D134" s="2" t="s">
        <v>357</v>
      </c>
      <c r="E134" s="2">
        <v>3</v>
      </c>
      <c r="F134" s="2" t="s">
        <v>31</v>
      </c>
      <c r="G134" s="2">
        <v>887</v>
      </c>
      <c r="H134" s="4" t="s">
        <v>362</v>
      </c>
      <c r="I134" s="2" t="str">
        <f t="shared" si="14"/>
        <v>4.45.3</v>
      </c>
      <c r="J134" s="5">
        <f t="shared" si="15"/>
        <v>6.2799999999999994</v>
      </c>
      <c r="K134" s="5">
        <f t="shared" si="16"/>
        <v>7.8900000000000006</v>
      </c>
      <c r="L134" s="5">
        <f t="shared" si="17"/>
        <v>7.65</v>
      </c>
      <c r="M134" s="5">
        <f t="shared" si="18"/>
        <v>0.53600000000000003</v>
      </c>
      <c r="N134" s="5">
        <f t="shared" si="19"/>
        <v>21.82</v>
      </c>
      <c r="O134" s="2">
        <v>333</v>
      </c>
      <c r="P134" s="4" t="s">
        <v>83</v>
      </c>
      <c r="Q134">
        <v>27</v>
      </c>
      <c r="R134">
        <v>32</v>
      </c>
      <c r="S134">
        <v>38</v>
      </c>
      <c r="T134">
        <v>62.8</v>
      </c>
      <c r="U134">
        <v>78.900000000000006</v>
      </c>
      <c r="V134">
        <v>76.5</v>
      </c>
      <c r="W134" t="s">
        <v>34</v>
      </c>
      <c r="X134" t="s">
        <v>34</v>
      </c>
      <c r="Y134" t="s">
        <v>34</v>
      </c>
      <c r="Z134" t="s">
        <v>323</v>
      </c>
      <c r="AA134">
        <v>53.6</v>
      </c>
      <c r="AB134">
        <v>218.2</v>
      </c>
      <c r="AC134" t="s">
        <v>310</v>
      </c>
    </row>
    <row r="135" spans="1:29" x14ac:dyDescent="0.35">
      <c r="A135" s="2" t="s">
        <v>363</v>
      </c>
      <c r="B135" s="2">
        <v>4</v>
      </c>
      <c r="C135" s="2">
        <v>46</v>
      </c>
      <c r="D135" s="2" t="s">
        <v>364</v>
      </c>
      <c r="E135" s="2">
        <v>1</v>
      </c>
      <c r="F135" s="2" t="s">
        <v>47</v>
      </c>
      <c r="G135" s="2">
        <v>1005</v>
      </c>
      <c r="H135" s="4" t="s">
        <v>365</v>
      </c>
      <c r="I135" s="2" t="str">
        <f t="shared" si="14"/>
        <v>4.46.1</v>
      </c>
      <c r="J135" s="5">
        <f t="shared" si="15"/>
        <v>6.4</v>
      </c>
      <c r="K135" s="5">
        <f t="shared" si="16"/>
        <v>6.6</v>
      </c>
      <c r="L135" s="5">
        <f t="shared" si="17"/>
        <v>6.7900000000000009</v>
      </c>
      <c r="M135" s="5">
        <f t="shared" si="18"/>
        <v>0.39399999999999996</v>
      </c>
      <c r="N135" s="5">
        <f t="shared" si="19"/>
        <v>19.79</v>
      </c>
      <c r="O135" s="2">
        <v>333</v>
      </c>
      <c r="P135" s="4" t="s">
        <v>83</v>
      </c>
      <c r="Q135">
        <v>28</v>
      </c>
      <c r="R135">
        <v>23</v>
      </c>
      <c r="S135">
        <v>24</v>
      </c>
      <c r="T135">
        <v>64</v>
      </c>
      <c r="U135">
        <v>66</v>
      </c>
      <c r="V135">
        <v>67.900000000000006</v>
      </c>
      <c r="W135" t="s">
        <v>34</v>
      </c>
      <c r="X135" t="s">
        <v>34</v>
      </c>
      <c r="Y135" t="s">
        <v>34</v>
      </c>
      <c r="Z135" t="s">
        <v>292</v>
      </c>
      <c r="AA135">
        <v>39.4</v>
      </c>
      <c r="AB135">
        <v>197.9</v>
      </c>
      <c r="AC135" t="s">
        <v>310</v>
      </c>
    </row>
    <row r="136" spans="1:29" x14ac:dyDescent="0.35">
      <c r="A136" s="2" t="s">
        <v>366</v>
      </c>
      <c r="B136" s="2">
        <v>4</v>
      </c>
      <c r="C136" s="2">
        <v>46</v>
      </c>
      <c r="D136" s="2" t="s">
        <v>364</v>
      </c>
      <c r="E136" s="2">
        <v>2</v>
      </c>
      <c r="F136" s="2" t="s">
        <v>47</v>
      </c>
      <c r="G136" s="2">
        <v>720</v>
      </c>
      <c r="H136" s="4" t="s">
        <v>367</v>
      </c>
      <c r="I136" s="2" t="str">
        <f t="shared" si="14"/>
        <v>4.46.2</v>
      </c>
      <c r="J136" s="5">
        <f t="shared" si="15"/>
        <v>7.5400000000000009</v>
      </c>
      <c r="K136" s="5">
        <f t="shared" si="16"/>
        <v>7.18</v>
      </c>
      <c r="L136" s="5">
        <f t="shared" si="17"/>
        <v>5.6899999999999995</v>
      </c>
      <c r="M136" s="5">
        <f t="shared" si="18"/>
        <v>0.28399999999999997</v>
      </c>
      <c r="N136" s="5">
        <f t="shared" si="19"/>
        <v>20.41</v>
      </c>
      <c r="O136" s="2">
        <v>332</v>
      </c>
      <c r="P136" s="4" t="s">
        <v>225</v>
      </c>
      <c r="Q136">
        <v>36.700000000000003</v>
      </c>
      <c r="R136">
        <v>25</v>
      </c>
      <c r="S136">
        <v>15</v>
      </c>
      <c r="T136">
        <v>75.400000000000006</v>
      </c>
      <c r="U136">
        <v>71.8</v>
      </c>
      <c r="V136">
        <v>56.9</v>
      </c>
      <c r="W136" t="s">
        <v>34</v>
      </c>
      <c r="X136" t="s">
        <v>34</v>
      </c>
      <c r="Y136" t="s">
        <v>35</v>
      </c>
      <c r="Z136" t="s">
        <v>292</v>
      </c>
      <c r="AA136">
        <v>28.4</v>
      </c>
      <c r="AB136">
        <v>204.1</v>
      </c>
      <c r="AC136" t="s">
        <v>310</v>
      </c>
    </row>
    <row r="137" spans="1:29" x14ac:dyDescent="0.35">
      <c r="A137" s="2" t="s">
        <v>368</v>
      </c>
      <c r="B137" s="2">
        <v>4</v>
      </c>
      <c r="C137" s="2">
        <v>46</v>
      </c>
      <c r="D137" s="2" t="s">
        <v>364</v>
      </c>
      <c r="E137" s="2">
        <v>3</v>
      </c>
      <c r="F137" s="2" t="s">
        <v>47</v>
      </c>
      <c r="G137" s="2">
        <v>865</v>
      </c>
      <c r="H137" s="4" t="s">
        <v>369</v>
      </c>
      <c r="I137" s="2" t="str">
        <f t="shared" si="14"/>
        <v>4.46.3</v>
      </c>
      <c r="J137" s="5">
        <f t="shared" si="15"/>
        <v>7.35</v>
      </c>
      <c r="K137" s="5">
        <f t="shared" si="16"/>
        <v>7.18</v>
      </c>
      <c r="L137" s="5">
        <f t="shared" si="17"/>
        <v>6.34</v>
      </c>
      <c r="M137" s="5">
        <f t="shared" si="18"/>
        <v>0.317</v>
      </c>
      <c r="N137" s="5">
        <f t="shared" si="19"/>
        <v>20.869999999999997</v>
      </c>
      <c r="O137" s="2">
        <v>333</v>
      </c>
      <c r="P137" s="4" t="s">
        <v>83</v>
      </c>
      <c r="Q137">
        <v>35.299999999999997</v>
      </c>
      <c r="R137">
        <v>25</v>
      </c>
      <c r="S137">
        <v>21</v>
      </c>
      <c r="T137">
        <v>73.5</v>
      </c>
      <c r="U137">
        <v>71.8</v>
      </c>
      <c r="V137">
        <v>63.4</v>
      </c>
      <c r="W137" t="s">
        <v>34</v>
      </c>
      <c r="X137" t="s">
        <v>34</v>
      </c>
      <c r="Y137" t="s">
        <v>34</v>
      </c>
      <c r="Z137" t="s">
        <v>292</v>
      </c>
      <c r="AA137">
        <v>31.7</v>
      </c>
      <c r="AB137">
        <v>208.7</v>
      </c>
      <c r="AC137" t="s">
        <v>310</v>
      </c>
    </row>
    <row r="138" spans="1:29" x14ac:dyDescent="0.35">
      <c r="A138" s="2" t="s">
        <v>370</v>
      </c>
      <c r="B138" s="2">
        <v>4</v>
      </c>
      <c r="C138" s="2">
        <v>46</v>
      </c>
      <c r="D138" s="2" t="s">
        <v>364</v>
      </c>
      <c r="E138" s="2">
        <v>4</v>
      </c>
      <c r="F138" s="2" t="s">
        <v>47</v>
      </c>
      <c r="G138" s="2">
        <v>561</v>
      </c>
      <c r="H138" s="4" t="s">
        <v>371</v>
      </c>
      <c r="I138" s="2" t="str">
        <f t="shared" si="14"/>
        <v>4.46.4</v>
      </c>
      <c r="J138" s="5">
        <f t="shared" si="15"/>
        <v>6.9700000000000006</v>
      </c>
      <c r="K138" s="5">
        <f t="shared" si="16"/>
        <v>8.5</v>
      </c>
      <c r="L138" s="5">
        <f t="shared" si="17"/>
        <v>6.49</v>
      </c>
      <c r="M138" s="5">
        <f t="shared" si="18"/>
        <v>0.42200000000000004</v>
      </c>
      <c r="N138" s="5">
        <f t="shared" si="19"/>
        <v>21.96</v>
      </c>
      <c r="O138" s="2">
        <v>333</v>
      </c>
      <c r="P138" s="4" t="s">
        <v>83</v>
      </c>
      <c r="Q138">
        <v>32</v>
      </c>
      <c r="R138">
        <v>45</v>
      </c>
      <c r="S138">
        <v>22</v>
      </c>
      <c r="T138">
        <v>69.7</v>
      </c>
      <c r="U138">
        <v>85</v>
      </c>
      <c r="V138">
        <v>64.900000000000006</v>
      </c>
      <c r="W138" t="s">
        <v>34</v>
      </c>
      <c r="X138" t="s">
        <v>34</v>
      </c>
      <c r="Y138" t="s">
        <v>34</v>
      </c>
      <c r="Z138" t="s">
        <v>292</v>
      </c>
      <c r="AA138">
        <v>42.2</v>
      </c>
      <c r="AB138">
        <v>219.6</v>
      </c>
      <c r="AC138" t="s">
        <v>310</v>
      </c>
    </row>
    <row r="139" spans="1:29" x14ac:dyDescent="0.35">
      <c r="A139" s="2" t="s">
        <v>372</v>
      </c>
      <c r="B139" s="2">
        <v>4</v>
      </c>
      <c r="C139" s="2">
        <v>47</v>
      </c>
      <c r="D139" s="2" t="s">
        <v>373</v>
      </c>
      <c r="E139" s="2">
        <v>1</v>
      </c>
      <c r="F139" s="2" t="s">
        <v>31</v>
      </c>
      <c r="G139" s="2">
        <v>738</v>
      </c>
      <c r="H139" s="4" t="s">
        <v>374</v>
      </c>
      <c r="I139" s="2" t="str">
        <f t="shared" si="14"/>
        <v>4.47.1</v>
      </c>
      <c r="J139" s="5">
        <f t="shared" si="15"/>
        <v>5.9399999999999995</v>
      </c>
      <c r="K139" s="5">
        <f t="shared" si="16"/>
        <v>5.7200000000000006</v>
      </c>
      <c r="L139" s="5">
        <f t="shared" si="17"/>
        <v>6.6400000000000006</v>
      </c>
      <c r="M139" s="5">
        <f t="shared" si="18"/>
        <v>0.31900000000000001</v>
      </c>
      <c r="N139" s="5">
        <f t="shared" si="19"/>
        <v>18.3</v>
      </c>
      <c r="O139" s="2">
        <v>223</v>
      </c>
      <c r="P139" s="4" t="s">
        <v>42</v>
      </c>
      <c r="Q139">
        <v>24</v>
      </c>
      <c r="R139">
        <v>19</v>
      </c>
      <c r="S139">
        <v>23</v>
      </c>
      <c r="T139">
        <v>59.4</v>
      </c>
      <c r="U139">
        <v>57.2</v>
      </c>
      <c r="V139">
        <v>66.400000000000006</v>
      </c>
      <c r="W139" t="s">
        <v>35</v>
      </c>
      <c r="X139" t="s">
        <v>35</v>
      </c>
      <c r="Y139" t="s">
        <v>34</v>
      </c>
      <c r="Z139" t="s">
        <v>292</v>
      </c>
      <c r="AA139">
        <v>31.9</v>
      </c>
      <c r="AB139">
        <v>183</v>
      </c>
      <c r="AC139" t="s">
        <v>310</v>
      </c>
    </row>
    <row r="140" spans="1:29" x14ac:dyDescent="0.35">
      <c r="A140" s="2" t="s">
        <v>375</v>
      </c>
      <c r="B140" s="2">
        <v>4</v>
      </c>
      <c r="C140" s="2">
        <v>47</v>
      </c>
      <c r="D140" s="2" t="s">
        <v>373</v>
      </c>
      <c r="E140" s="2">
        <v>2</v>
      </c>
      <c r="F140" s="2" t="s">
        <v>47</v>
      </c>
      <c r="G140" s="2">
        <v>41</v>
      </c>
      <c r="H140" s="4" t="s">
        <v>376</v>
      </c>
      <c r="I140" s="2" t="str">
        <f t="shared" si="14"/>
        <v>4.47.2</v>
      </c>
      <c r="J140" s="5">
        <f t="shared" si="15"/>
        <v>7.12</v>
      </c>
      <c r="K140" s="5">
        <f t="shared" si="16"/>
        <v>6.6</v>
      </c>
      <c r="L140" s="5">
        <f t="shared" si="17"/>
        <v>6.92</v>
      </c>
      <c r="M140" s="5">
        <f t="shared" si="18"/>
        <v>0.13800000000000001</v>
      </c>
      <c r="N140" s="5">
        <f t="shared" si="19"/>
        <v>20.64</v>
      </c>
      <c r="O140" s="2">
        <v>333</v>
      </c>
      <c r="P140" s="4" t="s">
        <v>83</v>
      </c>
      <c r="Q140">
        <v>33.700000000000003</v>
      </c>
      <c r="R140">
        <v>23</v>
      </c>
      <c r="S140">
        <v>25</v>
      </c>
      <c r="T140">
        <v>71.2</v>
      </c>
      <c r="U140">
        <v>66</v>
      </c>
      <c r="V140">
        <v>69.2</v>
      </c>
      <c r="W140" t="s">
        <v>34</v>
      </c>
      <c r="X140" t="s">
        <v>34</v>
      </c>
      <c r="Y140" t="s">
        <v>34</v>
      </c>
      <c r="Z140" t="s">
        <v>36</v>
      </c>
      <c r="AA140">
        <v>13.8</v>
      </c>
      <c r="AB140">
        <v>206.4</v>
      </c>
      <c r="AC140" t="s">
        <v>310</v>
      </c>
    </row>
    <row r="141" spans="1:29" x14ac:dyDescent="0.35">
      <c r="A141" s="2" t="s">
        <v>377</v>
      </c>
      <c r="B141" s="2">
        <v>4</v>
      </c>
      <c r="C141" s="2">
        <v>47</v>
      </c>
      <c r="D141" s="2" t="s">
        <v>373</v>
      </c>
      <c r="E141" s="2">
        <v>3</v>
      </c>
      <c r="F141" s="2" t="s">
        <v>31</v>
      </c>
      <c r="G141" s="2">
        <v>38</v>
      </c>
      <c r="H141" s="4" t="s">
        <v>378</v>
      </c>
      <c r="I141" s="2" t="str">
        <f t="shared" si="14"/>
        <v>4.47.3</v>
      </c>
      <c r="J141" s="5">
        <f t="shared" si="15"/>
        <v>7.35</v>
      </c>
      <c r="K141" s="5">
        <f t="shared" si="16"/>
        <v>6.6</v>
      </c>
      <c r="L141" s="5">
        <f t="shared" si="17"/>
        <v>6.6400000000000006</v>
      </c>
      <c r="M141" s="5">
        <f t="shared" si="18"/>
        <v>0.14599999999999999</v>
      </c>
      <c r="N141" s="5">
        <f t="shared" si="19"/>
        <v>20.59</v>
      </c>
      <c r="O141" s="2">
        <v>333</v>
      </c>
      <c r="P141" s="4" t="s">
        <v>83</v>
      </c>
      <c r="Q141">
        <v>35.299999999999997</v>
      </c>
      <c r="R141">
        <v>23</v>
      </c>
      <c r="S141">
        <v>23</v>
      </c>
      <c r="T141">
        <v>73.5</v>
      </c>
      <c r="U141">
        <v>66</v>
      </c>
      <c r="V141">
        <v>66.400000000000006</v>
      </c>
      <c r="W141" t="s">
        <v>34</v>
      </c>
      <c r="X141" t="s">
        <v>34</v>
      </c>
      <c r="Y141" t="s">
        <v>34</v>
      </c>
      <c r="Z141" t="s">
        <v>36</v>
      </c>
      <c r="AA141">
        <v>14.6</v>
      </c>
      <c r="AB141">
        <v>205.9</v>
      </c>
      <c r="AC141" t="s">
        <v>310</v>
      </c>
    </row>
    <row r="142" spans="1:29" x14ac:dyDescent="0.35">
      <c r="A142" s="2" t="s">
        <v>379</v>
      </c>
      <c r="B142" s="2">
        <v>4</v>
      </c>
      <c r="C142" s="2">
        <v>47</v>
      </c>
      <c r="D142" s="2" t="s">
        <v>373</v>
      </c>
      <c r="E142" s="2">
        <v>4</v>
      </c>
      <c r="F142" s="2" t="s">
        <v>47</v>
      </c>
      <c r="G142" s="2">
        <v>33</v>
      </c>
      <c r="H142" s="4" t="s">
        <v>380</v>
      </c>
      <c r="I142" s="2" t="str">
        <f t="shared" si="14"/>
        <v>4.47.4</v>
      </c>
      <c r="J142" s="5">
        <f t="shared" si="15"/>
        <v>5.9399999999999995</v>
      </c>
      <c r="K142" s="5">
        <f t="shared" si="16"/>
        <v>6.12</v>
      </c>
      <c r="L142" s="5">
        <f t="shared" si="17"/>
        <v>6.6400000000000006</v>
      </c>
      <c r="M142" s="5">
        <f t="shared" si="18"/>
        <v>0.26600000000000001</v>
      </c>
      <c r="N142" s="5">
        <f t="shared" si="19"/>
        <v>18.7</v>
      </c>
      <c r="O142" s="2">
        <v>233</v>
      </c>
      <c r="P142" s="4" t="s">
        <v>105</v>
      </c>
      <c r="Q142">
        <v>24</v>
      </c>
      <c r="R142">
        <v>21</v>
      </c>
      <c r="S142">
        <v>23</v>
      </c>
      <c r="T142">
        <v>59.4</v>
      </c>
      <c r="U142">
        <v>61.2</v>
      </c>
      <c r="V142">
        <v>66.400000000000006</v>
      </c>
      <c r="W142" t="s">
        <v>35</v>
      </c>
      <c r="X142" t="s">
        <v>34</v>
      </c>
      <c r="Y142" t="s">
        <v>34</v>
      </c>
      <c r="Z142" t="s">
        <v>292</v>
      </c>
      <c r="AA142">
        <v>26.6</v>
      </c>
      <c r="AB142">
        <v>187</v>
      </c>
      <c r="AC142" t="s">
        <v>310</v>
      </c>
    </row>
    <row r="143" spans="1:29" x14ac:dyDescent="0.35">
      <c r="A143" s="2" t="s">
        <v>381</v>
      </c>
      <c r="B143" s="2">
        <v>4</v>
      </c>
      <c r="C143" s="2">
        <v>48</v>
      </c>
      <c r="D143" s="2" t="s">
        <v>382</v>
      </c>
      <c r="E143" s="2">
        <v>1</v>
      </c>
      <c r="F143" s="2" t="s">
        <v>31</v>
      </c>
      <c r="G143" s="2">
        <v>47</v>
      </c>
      <c r="H143" s="4" t="s">
        <v>383</v>
      </c>
      <c r="I143" s="2" t="str">
        <f t="shared" si="14"/>
        <v>4.48.1</v>
      </c>
      <c r="J143" s="5">
        <f t="shared" si="15"/>
        <v>6.2</v>
      </c>
      <c r="K143" s="5">
        <f t="shared" si="16"/>
        <v>8.120000000000001</v>
      </c>
      <c r="L143" s="5">
        <f t="shared" si="17"/>
        <v>7.32</v>
      </c>
      <c r="M143" s="5">
        <f t="shared" si="18"/>
        <v>0.68799999999999994</v>
      </c>
      <c r="N143" s="5">
        <f t="shared" si="19"/>
        <v>21.64</v>
      </c>
      <c r="O143" s="2">
        <v>333</v>
      </c>
      <c r="P143" s="4" t="s">
        <v>83</v>
      </c>
      <c r="Q143">
        <v>25.5</v>
      </c>
      <c r="R143">
        <v>33</v>
      </c>
      <c r="S143">
        <v>34</v>
      </c>
      <c r="T143">
        <v>62</v>
      </c>
      <c r="U143">
        <v>81.2</v>
      </c>
      <c r="V143">
        <v>73.2</v>
      </c>
      <c r="W143" t="s">
        <v>34</v>
      </c>
      <c r="X143" t="s">
        <v>34</v>
      </c>
      <c r="Y143" t="s">
        <v>34</v>
      </c>
      <c r="Z143" t="s">
        <v>323</v>
      </c>
      <c r="AA143">
        <v>68.8</v>
      </c>
      <c r="AB143">
        <v>216.4</v>
      </c>
      <c r="AC143" t="s">
        <v>310</v>
      </c>
    </row>
    <row r="144" spans="1:29" x14ac:dyDescent="0.35">
      <c r="A144" s="2" t="s">
        <v>384</v>
      </c>
      <c r="B144" s="2">
        <v>4</v>
      </c>
      <c r="C144" s="2">
        <v>48</v>
      </c>
      <c r="D144" s="2" t="s">
        <v>382</v>
      </c>
      <c r="E144" s="2">
        <v>2</v>
      </c>
      <c r="F144" s="2" t="s">
        <v>47</v>
      </c>
      <c r="G144" s="2">
        <v>36</v>
      </c>
      <c r="H144" s="4" t="s">
        <v>385</v>
      </c>
      <c r="I144" s="2" t="str">
        <f t="shared" si="14"/>
        <v>4.48.2</v>
      </c>
      <c r="J144" s="5">
        <f t="shared" si="15"/>
        <v>6.13</v>
      </c>
      <c r="K144" s="5">
        <f t="shared" si="16"/>
        <v>7.4099999999999993</v>
      </c>
      <c r="L144" s="5">
        <f t="shared" si="17"/>
        <v>7.4700000000000006</v>
      </c>
      <c r="M144" s="5">
        <f t="shared" si="18"/>
        <v>0.73199999999999998</v>
      </c>
      <c r="N144" s="5">
        <f t="shared" si="19"/>
        <v>21.009999999999998</v>
      </c>
      <c r="O144" s="2">
        <v>333</v>
      </c>
      <c r="P144" s="4" t="s">
        <v>83</v>
      </c>
      <c r="Q144">
        <v>25.2</v>
      </c>
      <c r="R144">
        <v>26</v>
      </c>
      <c r="S144">
        <v>37</v>
      </c>
      <c r="T144">
        <v>61.3</v>
      </c>
      <c r="U144">
        <v>74.099999999999994</v>
      </c>
      <c r="V144">
        <v>74.7</v>
      </c>
      <c r="W144" t="s">
        <v>34</v>
      </c>
      <c r="X144" t="s">
        <v>34</v>
      </c>
      <c r="Y144" t="s">
        <v>34</v>
      </c>
      <c r="Z144" t="s">
        <v>323</v>
      </c>
      <c r="AA144">
        <v>73.2</v>
      </c>
      <c r="AB144">
        <v>210.1</v>
      </c>
      <c r="AC144" t="s">
        <v>310</v>
      </c>
    </row>
    <row r="145" spans="1:29" x14ac:dyDescent="0.35">
      <c r="A145" s="2" t="s">
        <v>386</v>
      </c>
      <c r="B145" s="2">
        <v>4</v>
      </c>
      <c r="C145" s="2">
        <v>48</v>
      </c>
      <c r="D145" s="2" t="s">
        <v>382</v>
      </c>
      <c r="E145" s="2">
        <v>3</v>
      </c>
      <c r="F145" s="2" t="s">
        <v>31</v>
      </c>
      <c r="G145" s="2">
        <v>47</v>
      </c>
      <c r="H145" s="4" t="s">
        <v>387</v>
      </c>
      <c r="I145" s="2" t="str">
        <f t="shared" si="14"/>
        <v>4.48.3</v>
      </c>
      <c r="J145" s="5">
        <f t="shared" si="15"/>
        <v>6.56</v>
      </c>
      <c r="K145" s="5">
        <f t="shared" si="16"/>
        <v>6.33</v>
      </c>
      <c r="L145" s="5">
        <f t="shared" si="17"/>
        <v>7.32</v>
      </c>
      <c r="M145" s="5">
        <f t="shared" si="18"/>
        <v>0.46799999999999997</v>
      </c>
      <c r="N145" s="5">
        <f t="shared" si="19"/>
        <v>20.21</v>
      </c>
      <c r="O145" s="2">
        <v>333</v>
      </c>
      <c r="P145" s="4" t="s">
        <v>83</v>
      </c>
      <c r="Q145">
        <v>28.5</v>
      </c>
      <c r="R145">
        <v>22</v>
      </c>
      <c r="S145">
        <v>34</v>
      </c>
      <c r="T145">
        <v>65.599999999999994</v>
      </c>
      <c r="U145">
        <v>63.3</v>
      </c>
      <c r="V145">
        <v>73.2</v>
      </c>
      <c r="W145" t="s">
        <v>34</v>
      </c>
      <c r="X145" t="s">
        <v>34</v>
      </c>
      <c r="Y145" t="s">
        <v>34</v>
      </c>
      <c r="Z145" t="s">
        <v>292</v>
      </c>
      <c r="AA145">
        <v>46.8</v>
      </c>
      <c r="AB145">
        <v>202.1</v>
      </c>
      <c r="AC145" t="s">
        <v>310</v>
      </c>
    </row>
    <row r="146" spans="1:29" x14ac:dyDescent="0.35">
      <c r="A146" s="2" t="s">
        <v>388</v>
      </c>
      <c r="B146" s="2">
        <v>4</v>
      </c>
      <c r="C146" s="2">
        <v>48</v>
      </c>
      <c r="D146" s="2" t="s">
        <v>382</v>
      </c>
      <c r="E146" s="2">
        <v>4</v>
      </c>
      <c r="F146" s="2" t="s">
        <v>47</v>
      </c>
      <c r="G146" s="2">
        <v>54</v>
      </c>
      <c r="H146" s="4" t="s">
        <v>389</v>
      </c>
      <c r="I146" s="2" t="str">
        <f t="shared" si="14"/>
        <v>4.48.4</v>
      </c>
      <c r="J146" s="5">
        <f t="shared" si="15"/>
        <v>7.8599999999999994</v>
      </c>
      <c r="K146" s="5">
        <f t="shared" si="16"/>
        <v>6.9099999999999993</v>
      </c>
      <c r="L146" s="5">
        <f t="shared" si="17"/>
        <v>7.2</v>
      </c>
      <c r="M146" s="5">
        <f t="shared" si="18"/>
        <v>0.504</v>
      </c>
      <c r="N146" s="5">
        <f t="shared" si="19"/>
        <v>21.97</v>
      </c>
      <c r="O146" s="2">
        <v>333</v>
      </c>
      <c r="P146" s="4" t="s">
        <v>83</v>
      </c>
      <c r="Q146">
        <v>39.799999999999997</v>
      </c>
      <c r="R146">
        <v>24</v>
      </c>
      <c r="S146">
        <v>32</v>
      </c>
      <c r="T146">
        <v>78.599999999999994</v>
      </c>
      <c r="U146">
        <v>69.099999999999994</v>
      </c>
      <c r="V146">
        <v>72</v>
      </c>
      <c r="W146" t="s">
        <v>34</v>
      </c>
      <c r="X146" t="s">
        <v>34</v>
      </c>
      <c r="Y146" t="s">
        <v>34</v>
      </c>
      <c r="Z146" t="s">
        <v>323</v>
      </c>
      <c r="AA146">
        <v>50.4</v>
      </c>
      <c r="AB146">
        <v>219.7</v>
      </c>
      <c r="AC146" t="s">
        <v>310</v>
      </c>
    </row>
    <row r="147" spans="1:29" x14ac:dyDescent="0.35">
      <c r="A147" s="2" t="s">
        <v>390</v>
      </c>
      <c r="B147" s="2">
        <v>4</v>
      </c>
      <c r="C147" s="2">
        <v>48</v>
      </c>
      <c r="D147" s="2" t="s">
        <v>382</v>
      </c>
      <c r="E147" s="2">
        <v>5</v>
      </c>
      <c r="F147" s="2" t="s">
        <v>31</v>
      </c>
      <c r="G147" s="2">
        <v>28</v>
      </c>
      <c r="H147" s="4" t="s">
        <v>391</v>
      </c>
      <c r="I147" s="2" t="str">
        <f t="shared" si="14"/>
        <v>4.48.5</v>
      </c>
      <c r="J147" s="5">
        <f t="shared" si="15"/>
        <v>6.05</v>
      </c>
      <c r="K147" s="5">
        <f t="shared" si="16"/>
        <v>6.9099999999999993</v>
      </c>
      <c r="L147" s="5">
        <f t="shared" si="17"/>
        <v>7.32</v>
      </c>
      <c r="M147" s="5">
        <f t="shared" si="18"/>
        <v>0.68799999999999994</v>
      </c>
      <c r="N147" s="5">
        <f t="shared" si="19"/>
        <v>20.28</v>
      </c>
      <c r="O147" s="2">
        <v>333</v>
      </c>
      <c r="P147" s="4" t="s">
        <v>83</v>
      </c>
      <c r="Q147">
        <v>25</v>
      </c>
      <c r="R147">
        <v>24</v>
      </c>
      <c r="S147">
        <v>34</v>
      </c>
      <c r="T147">
        <v>60.5</v>
      </c>
      <c r="U147">
        <v>69.099999999999994</v>
      </c>
      <c r="V147">
        <v>73.2</v>
      </c>
      <c r="W147" t="s">
        <v>34</v>
      </c>
      <c r="X147" t="s">
        <v>34</v>
      </c>
      <c r="Y147" t="s">
        <v>34</v>
      </c>
      <c r="Z147" t="s">
        <v>323</v>
      </c>
      <c r="AA147">
        <v>68.8</v>
      </c>
      <c r="AB147">
        <v>202.8</v>
      </c>
      <c r="AC147" t="s">
        <v>310</v>
      </c>
    </row>
    <row r="148" spans="1:29" x14ac:dyDescent="0.35">
      <c r="A148" s="2" t="s">
        <v>392</v>
      </c>
      <c r="B148" s="2">
        <v>4</v>
      </c>
      <c r="C148" s="2">
        <v>49</v>
      </c>
      <c r="D148" s="2" t="s">
        <v>393</v>
      </c>
      <c r="E148" s="2">
        <v>1</v>
      </c>
      <c r="F148" s="2" t="s">
        <v>47</v>
      </c>
      <c r="G148" s="2">
        <v>43</v>
      </c>
      <c r="H148" s="4" t="s">
        <v>394</v>
      </c>
      <c r="I148" s="2" t="str">
        <f t="shared" si="14"/>
        <v>4.49.1</v>
      </c>
      <c r="J148" s="5">
        <f t="shared" si="15"/>
        <v>4.4700000000000006</v>
      </c>
      <c r="K148" s="5">
        <f t="shared" si="16"/>
        <v>6.33</v>
      </c>
      <c r="L148" s="5">
        <f t="shared" si="17"/>
        <v>7.65</v>
      </c>
      <c r="M148" s="5">
        <f t="shared" si="18"/>
        <v>0.76500000000000001</v>
      </c>
      <c r="N148" s="5">
        <f t="shared" si="19"/>
        <v>18.450000000000003</v>
      </c>
      <c r="O148" s="2">
        <v>233</v>
      </c>
      <c r="P148" s="4" t="s">
        <v>105</v>
      </c>
      <c r="Q148">
        <v>17</v>
      </c>
      <c r="R148">
        <v>22</v>
      </c>
      <c r="S148">
        <v>38</v>
      </c>
      <c r="T148">
        <v>44.7</v>
      </c>
      <c r="U148">
        <v>63.3</v>
      </c>
      <c r="V148">
        <v>76.5</v>
      </c>
      <c r="W148" t="s">
        <v>35</v>
      </c>
      <c r="X148" t="s">
        <v>34</v>
      </c>
      <c r="Y148" t="s">
        <v>34</v>
      </c>
      <c r="Z148" t="s">
        <v>323</v>
      </c>
      <c r="AA148">
        <v>76.5</v>
      </c>
      <c r="AB148">
        <v>184.5</v>
      </c>
      <c r="AC148" t="s">
        <v>310</v>
      </c>
    </row>
    <row r="149" spans="1:29" x14ac:dyDescent="0.35">
      <c r="A149" s="2" t="s">
        <v>395</v>
      </c>
      <c r="B149" s="2">
        <v>4</v>
      </c>
      <c r="C149" s="2">
        <v>49</v>
      </c>
      <c r="D149" s="2" t="s">
        <v>393</v>
      </c>
      <c r="E149" s="2">
        <v>2</v>
      </c>
      <c r="F149" s="2" t="s">
        <v>31</v>
      </c>
      <c r="G149" s="2">
        <v>39</v>
      </c>
      <c r="H149" s="4" t="s">
        <v>396</v>
      </c>
      <c r="I149" s="2" t="str">
        <f t="shared" si="14"/>
        <v>4.49.2</v>
      </c>
      <c r="J149" s="5">
        <f t="shared" si="15"/>
        <v>4.71</v>
      </c>
      <c r="K149" s="5">
        <f t="shared" si="16"/>
        <v>6.9099999999999993</v>
      </c>
      <c r="L149" s="5">
        <f t="shared" si="17"/>
        <v>7.9099999999999993</v>
      </c>
      <c r="M149" s="5">
        <f t="shared" si="18"/>
        <v>0.79099999999999993</v>
      </c>
      <c r="N149" s="5">
        <f t="shared" si="19"/>
        <v>19.529999999999998</v>
      </c>
      <c r="O149" s="2">
        <v>233</v>
      </c>
      <c r="P149" s="4" t="s">
        <v>105</v>
      </c>
      <c r="Q149">
        <v>18.2</v>
      </c>
      <c r="R149">
        <v>24</v>
      </c>
      <c r="S149">
        <v>44</v>
      </c>
      <c r="T149">
        <v>47.1</v>
      </c>
      <c r="U149">
        <v>69.099999999999994</v>
      </c>
      <c r="V149">
        <v>79.099999999999994</v>
      </c>
      <c r="W149" t="s">
        <v>35</v>
      </c>
      <c r="X149" t="s">
        <v>34</v>
      </c>
      <c r="Y149" t="s">
        <v>34</v>
      </c>
      <c r="Z149" t="s">
        <v>323</v>
      </c>
      <c r="AA149">
        <v>79.099999999999994</v>
      </c>
      <c r="AB149">
        <v>195.3</v>
      </c>
      <c r="AC149" t="s">
        <v>310</v>
      </c>
    </row>
    <row r="150" spans="1:29" x14ac:dyDescent="0.35">
      <c r="A150" s="2" t="s">
        <v>397</v>
      </c>
      <c r="B150" s="2">
        <v>4</v>
      </c>
      <c r="C150" s="2">
        <v>49</v>
      </c>
      <c r="D150" s="2" t="s">
        <v>393</v>
      </c>
      <c r="E150" s="2">
        <v>3</v>
      </c>
      <c r="F150" s="2" t="s">
        <v>47</v>
      </c>
      <c r="G150" s="2">
        <v>37</v>
      </c>
      <c r="H150" s="4" t="s">
        <v>398</v>
      </c>
      <c r="I150" s="2" t="str">
        <f t="shared" si="14"/>
        <v>4.49.3</v>
      </c>
      <c r="J150" s="5">
        <f t="shared" si="15"/>
        <v>6.56</v>
      </c>
      <c r="K150" s="5">
        <f t="shared" si="16"/>
        <v>6.6</v>
      </c>
      <c r="L150" s="5">
        <f t="shared" si="17"/>
        <v>8.23</v>
      </c>
      <c r="M150" s="5">
        <f t="shared" si="18"/>
        <v>0.82299999999999995</v>
      </c>
      <c r="N150" s="5">
        <f t="shared" si="19"/>
        <v>21.39</v>
      </c>
      <c r="O150" s="2">
        <v>333</v>
      </c>
      <c r="P150" s="4" t="s">
        <v>83</v>
      </c>
      <c r="Q150">
        <v>28.5</v>
      </c>
      <c r="R150">
        <v>23</v>
      </c>
      <c r="S150">
        <v>47</v>
      </c>
      <c r="T150">
        <v>65.599999999999994</v>
      </c>
      <c r="U150">
        <v>66</v>
      </c>
      <c r="V150">
        <v>82.3</v>
      </c>
      <c r="W150" t="s">
        <v>34</v>
      </c>
      <c r="X150" t="s">
        <v>34</v>
      </c>
      <c r="Y150" t="s">
        <v>34</v>
      </c>
      <c r="Z150" t="s">
        <v>323</v>
      </c>
      <c r="AA150">
        <v>82.3</v>
      </c>
      <c r="AB150">
        <v>213.9</v>
      </c>
      <c r="AC150" t="s">
        <v>310</v>
      </c>
    </row>
    <row r="151" spans="1:29" x14ac:dyDescent="0.35">
      <c r="A151" s="2" t="s">
        <v>399</v>
      </c>
      <c r="B151" s="2">
        <v>4</v>
      </c>
      <c r="C151" s="2">
        <v>49</v>
      </c>
      <c r="D151" s="2" t="s">
        <v>393</v>
      </c>
      <c r="E151" s="2">
        <v>4</v>
      </c>
      <c r="F151" s="2" t="s">
        <v>31</v>
      </c>
      <c r="G151" s="2">
        <v>43</v>
      </c>
      <c r="H151" s="4" t="s">
        <v>400</v>
      </c>
      <c r="I151" s="2" t="str">
        <f t="shared" si="14"/>
        <v>4.49.4</v>
      </c>
      <c r="J151" s="5">
        <f t="shared" si="15"/>
        <v>5.18</v>
      </c>
      <c r="K151" s="5">
        <f t="shared" si="16"/>
        <v>7.4099999999999993</v>
      </c>
      <c r="L151" s="5">
        <f t="shared" si="17"/>
        <v>7.4700000000000006</v>
      </c>
      <c r="M151" s="5">
        <f t="shared" si="18"/>
        <v>0.747</v>
      </c>
      <c r="N151" s="5">
        <f t="shared" si="19"/>
        <v>20.060000000000002</v>
      </c>
      <c r="O151" s="2">
        <v>233</v>
      </c>
      <c r="P151" s="4" t="s">
        <v>105</v>
      </c>
      <c r="Q151">
        <v>19.8</v>
      </c>
      <c r="R151">
        <v>26</v>
      </c>
      <c r="S151">
        <v>37</v>
      </c>
      <c r="T151">
        <v>51.8</v>
      </c>
      <c r="U151">
        <v>74.099999999999994</v>
      </c>
      <c r="V151">
        <v>74.7</v>
      </c>
      <c r="W151" t="s">
        <v>35</v>
      </c>
      <c r="X151" t="s">
        <v>34</v>
      </c>
      <c r="Y151" t="s">
        <v>34</v>
      </c>
      <c r="Z151" t="s">
        <v>323</v>
      </c>
      <c r="AA151">
        <v>74.7</v>
      </c>
      <c r="AB151">
        <v>200.6</v>
      </c>
      <c r="AC151" t="s">
        <v>310</v>
      </c>
    </row>
    <row r="152" spans="1:29" x14ac:dyDescent="0.35">
      <c r="A152" s="2" t="s">
        <v>401</v>
      </c>
      <c r="B152" s="2">
        <v>4</v>
      </c>
      <c r="C152" s="2">
        <v>49</v>
      </c>
      <c r="D152" s="2" t="s">
        <v>393</v>
      </c>
      <c r="E152" s="2">
        <v>5</v>
      </c>
      <c r="F152" s="2" t="s">
        <v>47</v>
      </c>
      <c r="G152" s="2">
        <v>44</v>
      </c>
      <c r="H152" s="4" t="s">
        <v>402</v>
      </c>
      <c r="I152" s="2" t="str">
        <f t="shared" si="14"/>
        <v>4.49.5</v>
      </c>
      <c r="J152" s="5">
        <f t="shared" si="15"/>
        <v>6.4</v>
      </c>
      <c r="K152" s="5">
        <f t="shared" si="16"/>
        <v>6.9099999999999993</v>
      </c>
      <c r="L152" s="5">
        <f t="shared" si="17"/>
        <v>8.5500000000000007</v>
      </c>
      <c r="M152" s="5">
        <f t="shared" si="18"/>
        <v>0.85499999999999998</v>
      </c>
      <c r="N152" s="5">
        <f t="shared" si="19"/>
        <v>21.86</v>
      </c>
      <c r="O152" s="2">
        <v>333</v>
      </c>
      <c r="P152" s="4" t="s">
        <v>83</v>
      </c>
      <c r="Q152">
        <v>28</v>
      </c>
      <c r="R152">
        <v>24</v>
      </c>
      <c r="S152">
        <v>53</v>
      </c>
      <c r="T152">
        <v>64</v>
      </c>
      <c r="U152">
        <v>69.099999999999994</v>
      </c>
      <c r="V152">
        <v>85.5</v>
      </c>
      <c r="W152" t="s">
        <v>34</v>
      </c>
      <c r="X152" t="s">
        <v>34</v>
      </c>
      <c r="Y152" t="s">
        <v>34</v>
      </c>
      <c r="Z152" t="s">
        <v>323</v>
      </c>
      <c r="AA152">
        <v>85.5</v>
      </c>
      <c r="AB152">
        <v>218.6</v>
      </c>
      <c r="AC152" t="s">
        <v>310</v>
      </c>
    </row>
    <row r="153" spans="1:29" x14ac:dyDescent="0.35">
      <c r="A153" s="2" t="s">
        <v>403</v>
      </c>
      <c r="B153" s="2">
        <v>4</v>
      </c>
      <c r="C153" s="2">
        <v>50</v>
      </c>
      <c r="D153" s="2" t="s">
        <v>404</v>
      </c>
      <c r="E153" s="2">
        <v>1</v>
      </c>
      <c r="F153" s="2" t="s">
        <v>31</v>
      </c>
      <c r="G153" s="2">
        <v>42</v>
      </c>
      <c r="H153" s="4" t="s">
        <v>405</v>
      </c>
      <c r="I153" s="2" t="str">
        <f t="shared" si="14"/>
        <v>4.50.1</v>
      </c>
      <c r="J153" s="5">
        <f t="shared" si="15"/>
        <v>8.66</v>
      </c>
      <c r="K153" s="5">
        <f t="shared" si="16"/>
        <v>7.4099999999999993</v>
      </c>
      <c r="L153" s="5">
        <f t="shared" si="17"/>
        <v>7.12</v>
      </c>
      <c r="M153" s="5">
        <f t="shared" si="18"/>
        <v>0.56999999999999995</v>
      </c>
      <c r="N153" s="5">
        <f t="shared" si="19"/>
        <v>23.19</v>
      </c>
      <c r="O153" s="2">
        <v>333</v>
      </c>
      <c r="P153" s="4" t="s">
        <v>83</v>
      </c>
      <c r="Q153">
        <v>51</v>
      </c>
      <c r="R153">
        <v>26</v>
      </c>
      <c r="S153">
        <v>28</v>
      </c>
      <c r="T153">
        <v>86.6</v>
      </c>
      <c r="U153">
        <v>74.099999999999994</v>
      </c>
      <c r="V153">
        <v>71.2</v>
      </c>
      <c r="W153" t="s">
        <v>34</v>
      </c>
      <c r="X153" t="s">
        <v>34</v>
      </c>
      <c r="Y153" t="s">
        <v>34</v>
      </c>
      <c r="Z153" t="s">
        <v>323</v>
      </c>
      <c r="AA153">
        <v>57</v>
      </c>
      <c r="AB153">
        <v>231.9</v>
      </c>
      <c r="AC153" t="s">
        <v>310</v>
      </c>
    </row>
    <row r="154" spans="1:29" x14ac:dyDescent="0.35">
      <c r="A154" s="2" t="s">
        <v>406</v>
      </c>
      <c r="B154" s="2">
        <v>4</v>
      </c>
      <c r="C154" s="2">
        <v>50</v>
      </c>
      <c r="D154" s="2" t="s">
        <v>404</v>
      </c>
      <c r="E154" s="2">
        <v>2</v>
      </c>
      <c r="F154" s="2" t="s">
        <v>47</v>
      </c>
      <c r="G154" s="2">
        <v>39</v>
      </c>
      <c r="H154" s="4" t="s">
        <v>407</v>
      </c>
      <c r="I154" s="2" t="str">
        <f t="shared" si="14"/>
        <v>4.50.2</v>
      </c>
      <c r="J154" s="5">
        <f t="shared" si="15"/>
        <v>7.12</v>
      </c>
      <c r="K154" s="5">
        <f t="shared" si="16"/>
        <v>5.96</v>
      </c>
      <c r="L154" s="5">
        <f t="shared" si="17"/>
        <v>6.49</v>
      </c>
      <c r="M154" s="5">
        <f t="shared" si="18"/>
        <v>0.58399999999999996</v>
      </c>
      <c r="N154" s="5">
        <f t="shared" si="19"/>
        <v>19.57</v>
      </c>
      <c r="O154" s="2">
        <v>323</v>
      </c>
      <c r="P154" s="4" t="s">
        <v>33</v>
      </c>
      <c r="Q154">
        <v>33.700000000000003</v>
      </c>
      <c r="R154">
        <v>20</v>
      </c>
      <c r="S154">
        <v>22</v>
      </c>
      <c r="T154">
        <v>71.2</v>
      </c>
      <c r="U154">
        <v>59.6</v>
      </c>
      <c r="V154">
        <v>64.900000000000006</v>
      </c>
      <c r="W154" t="s">
        <v>34</v>
      </c>
      <c r="X154" t="s">
        <v>35</v>
      </c>
      <c r="Y154" t="s">
        <v>34</v>
      </c>
      <c r="Z154" t="s">
        <v>323</v>
      </c>
      <c r="AA154">
        <v>58.4</v>
      </c>
      <c r="AB154">
        <v>195.7</v>
      </c>
      <c r="AC154" t="s">
        <v>310</v>
      </c>
    </row>
    <row r="155" spans="1:29" x14ac:dyDescent="0.35">
      <c r="A155" s="2" t="s">
        <v>408</v>
      </c>
      <c r="B155" s="2">
        <v>4</v>
      </c>
      <c r="C155" s="2">
        <v>50</v>
      </c>
      <c r="D155" s="2" t="s">
        <v>404</v>
      </c>
      <c r="E155" s="2">
        <v>3</v>
      </c>
      <c r="F155" s="2" t="s">
        <v>31</v>
      </c>
      <c r="G155" s="2">
        <v>47</v>
      </c>
      <c r="H155" s="4" t="s">
        <v>405</v>
      </c>
      <c r="I155" s="2" t="str">
        <f t="shared" si="14"/>
        <v>4.50.3</v>
      </c>
      <c r="J155" s="5">
        <f t="shared" si="15"/>
        <v>9.33</v>
      </c>
      <c r="K155" s="5">
        <f t="shared" si="16"/>
        <v>7.8900000000000006</v>
      </c>
      <c r="L155" s="5">
        <f t="shared" si="17"/>
        <v>7.12</v>
      </c>
      <c r="M155" s="5">
        <f t="shared" si="18"/>
        <v>0.441</v>
      </c>
      <c r="N155" s="5">
        <f t="shared" si="19"/>
        <v>24.34</v>
      </c>
      <c r="O155" s="2">
        <v>433</v>
      </c>
      <c r="P155" s="4" t="s">
        <v>409</v>
      </c>
      <c r="Q155">
        <v>59.3</v>
      </c>
      <c r="R155">
        <v>32</v>
      </c>
      <c r="S155">
        <v>28</v>
      </c>
      <c r="T155">
        <v>93.3</v>
      </c>
      <c r="U155">
        <v>78.900000000000006</v>
      </c>
      <c r="V155">
        <v>71.2</v>
      </c>
      <c r="W155" t="s">
        <v>306</v>
      </c>
      <c r="X155" t="s">
        <v>34</v>
      </c>
      <c r="Y155" t="s">
        <v>34</v>
      </c>
      <c r="Z155" t="s">
        <v>292</v>
      </c>
      <c r="AA155">
        <v>44.1</v>
      </c>
      <c r="AB155">
        <v>243.4</v>
      </c>
      <c r="AC155" t="s">
        <v>310</v>
      </c>
    </row>
    <row r="156" spans="1:29" x14ac:dyDescent="0.35">
      <c r="A156" s="2" t="s">
        <v>410</v>
      </c>
      <c r="B156" s="2">
        <v>4</v>
      </c>
      <c r="C156" s="2">
        <v>50</v>
      </c>
      <c r="D156" s="2" t="s">
        <v>404</v>
      </c>
      <c r="E156" s="2">
        <v>4</v>
      </c>
      <c r="F156" s="2" t="s">
        <v>47</v>
      </c>
      <c r="G156" s="2">
        <v>43</v>
      </c>
      <c r="H156" s="4" t="s">
        <v>407</v>
      </c>
      <c r="I156" s="2" t="str">
        <f t="shared" si="14"/>
        <v>4.50.4</v>
      </c>
      <c r="J156" s="5">
        <f t="shared" si="15"/>
        <v>7.69</v>
      </c>
      <c r="K156" s="5">
        <f t="shared" si="16"/>
        <v>6.33</v>
      </c>
      <c r="L156" s="5">
        <f t="shared" si="17"/>
        <v>6.49</v>
      </c>
      <c r="M156" s="5">
        <f t="shared" si="18"/>
        <v>0.58399999999999996</v>
      </c>
      <c r="N156" s="5">
        <f t="shared" si="19"/>
        <v>20.509999999999998</v>
      </c>
      <c r="O156" s="2">
        <v>333</v>
      </c>
      <c r="P156" s="4" t="s">
        <v>83</v>
      </c>
      <c r="Q156">
        <v>38</v>
      </c>
      <c r="R156">
        <v>22</v>
      </c>
      <c r="S156">
        <v>22</v>
      </c>
      <c r="T156">
        <v>76.900000000000006</v>
      </c>
      <c r="U156">
        <v>63.3</v>
      </c>
      <c r="V156">
        <v>64.900000000000006</v>
      </c>
      <c r="W156" t="s">
        <v>34</v>
      </c>
      <c r="X156" t="s">
        <v>34</v>
      </c>
      <c r="Y156" t="s">
        <v>34</v>
      </c>
      <c r="Z156" t="s">
        <v>323</v>
      </c>
      <c r="AA156">
        <v>58.4</v>
      </c>
      <c r="AB156">
        <v>205.1</v>
      </c>
      <c r="AC156" t="s">
        <v>310</v>
      </c>
    </row>
    <row r="157" spans="1:29" x14ac:dyDescent="0.35">
      <c r="A157" s="2" t="s">
        <v>411</v>
      </c>
      <c r="B157" s="2">
        <v>4</v>
      </c>
      <c r="C157" s="2">
        <v>51</v>
      </c>
      <c r="D157" s="2" t="s">
        <v>412</v>
      </c>
      <c r="E157" s="2">
        <v>1</v>
      </c>
      <c r="F157" s="2" t="s">
        <v>47</v>
      </c>
      <c r="G157" s="2">
        <v>41</v>
      </c>
      <c r="H157" s="4" t="s">
        <v>413</v>
      </c>
      <c r="I157" s="2" t="str">
        <f t="shared" si="14"/>
        <v>4.51.1</v>
      </c>
      <c r="J157" s="5">
        <f t="shared" si="15"/>
        <v>8.3099999999999987</v>
      </c>
      <c r="K157" s="5">
        <f t="shared" si="16"/>
        <v>9.41</v>
      </c>
      <c r="L157" s="5">
        <f t="shared" si="17"/>
        <v>8.23</v>
      </c>
      <c r="M157" s="5">
        <f t="shared" si="18"/>
        <v>0.82299999999999995</v>
      </c>
      <c r="N157" s="5">
        <f t="shared" si="19"/>
        <v>25.95</v>
      </c>
      <c r="O157" s="2">
        <v>343</v>
      </c>
      <c r="P157" s="4" t="s">
        <v>305</v>
      </c>
      <c r="Q157">
        <v>44</v>
      </c>
      <c r="R157">
        <v>55</v>
      </c>
      <c r="S157">
        <v>47</v>
      </c>
      <c r="T157">
        <v>83.1</v>
      </c>
      <c r="U157">
        <v>94.1</v>
      </c>
      <c r="V157">
        <v>82.3</v>
      </c>
      <c r="W157" t="s">
        <v>34</v>
      </c>
      <c r="X157" t="s">
        <v>306</v>
      </c>
      <c r="Y157" t="s">
        <v>34</v>
      </c>
      <c r="Z157" t="s">
        <v>323</v>
      </c>
      <c r="AA157">
        <v>82.3</v>
      </c>
      <c r="AB157">
        <v>259.5</v>
      </c>
      <c r="AC157" t="s">
        <v>310</v>
      </c>
    </row>
    <row r="158" spans="1:29" x14ac:dyDescent="0.35">
      <c r="A158" s="2" t="s">
        <v>414</v>
      </c>
      <c r="B158" s="2">
        <v>4</v>
      </c>
      <c r="C158" s="2">
        <v>51</v>
      </c>
      <c r="D158" s="2" t="s">
        <v>412</v>
      </c>
      <c r="E158" s="2">
        <v>2</v>
      </c>
      <c r="F158" s="2" t="s">
        <v>47</v>
      </c>
      <c r="G158" s="2">
        <v>39</v>
      </c>
      <c r="H158" s="4" t="s">
        <v>415</v>
      </c>
      <c r="I158" s="2" t="str">
        <f t="shared" si="14"/>
        <v>4.51.2</v>
      </c>
      <c r="J158" s="5">
        <f t="shared" si="15"/>
        <v>6.87</v>
      </c>
      <c r="K158" s="5">
        <f t="shared" si="16"/>
        <v>8.68</v>
      </c>
      <c r="L158" s="5">
        <f t="shared" si="17"/>
        <v>7.81</v>
      </c>
      <c r="M158" s="5">
        <f t="shared" si="18"/>
        <v>0.78099999999999992</v>
      </c>
      <c r="N158" s="5">
        <f t="shared" si="19"/>
        <v>23.36</v>
      </c>
      <c r="O158" s="2">
        <v>333</v>
      </c>
      <c r="P158" s="4" t="s">
        <v>83</v>
      </c>
      <c r="Q158">
        <v>31.5</v>
      </c>
      <c r="R158">
        <v>46</v>
      </c>
      <c r="S158">
        <v>43</v>
      </c>
      <c r="T158">
        <v>68.7</v>
      </c>
      <c r="U158">
        <v>86.8</v>
      </c>
      <c r="V158">
        <v>78.099999999999994</v>
      </c>
      <c r="W158" t="s">
        <v>34</v>
      </c>
      <c r="X158" t="s">
        <v>34</v>
      </c>
      <c r="Y158" t="s">
        <v>34</v>
      </c>
      <c r="Z158" t="s">
        <v>323</v>
      </c>
      <c r="AA158">
        <v>78.099999999999994</v>
      </c>
      <c r="AB158">
        <v>233.6</v>
      </c>
      <c r="AC158" t="s">
        <v>310</v>
      </c>
    </row>
    <row r="159" spans="1:29" x14ac:dyDescent="0.35">
      <c r="A159" s="2" t="s">
        <v>416</v>
      </c>
      <c r="B159" s="2">
        <v>4</v>
      </c>
      <c r="C159" s="2">
        <v>51</v>
      </c>
      <c r="D159" s="2" t="s">
        <v>412</v>
      </c>
      <c r="E159" s="2">
        <v>3</v>
      </c>
      <c r="F159" s="2" t="s">
        <v>47</v>
      </c>
      <c r="G159" s="2">
        <v>46</v>
      </c>
      <c r="H159" s="4" t="s">
        <v>417</v>
      </c>
      <c r="I159" s="2" t="str">
        <f t="shared" si="14"/>
        <v>4.51.3</v>
      </c>
      <c r="J159" s="5">
        <f t="shared" si="15"/>
        <v>8.0599999999999987</v>
      </c>
      <c r="K159" s="5">
        <f t="shared" si="16"/>
        <v>8.93</v>
      </c>
      <c r="L159" s="5">
        <f t="shared" si="17"/>
        <v>8.98</v>
      </c>
      <c r="M159" s="5">
        <f t="shared" si="18"/>
        <v>0.89800000000000002</v>
      </c>
      <c r="N159" s="5">
        <f t="shared" si="19"/>
        <v>25.97</v>
      </c>
      <c r="O159" s="2">
        <v>344</v>
      </c>
      <c r="P159" s="4" t="s">
        <v>418</v>
      </c>
      <c r="Q159">
        <v>41</v>
      </c>
      <c r="R159">
        <v>54</v>
      </c>
      <c r="S159">
        <v>54</v>
      </c>
      <c r="T159">
        <v>80.599999999999994</v>
      </c>
      <c r="U159">
        <v>89.3</v>
      </c>
      <c r="V159">
        <v>89.8</v>
      </c>
      <c r="W159" t="s">
        <v>34</v>
      </c>
      <c r="X159" t="s">
        <v>306</v>
      </c>
      <c r="Y159" t="s">
        <v>306</v>
      </c>
      <c r="Z159" t="s">
        <v>323</v>
      </c>
      <c r="AA159">
        <v>89.8</v>
      </c>
      <c r="AB159">
        <v>259.7</v>
      </c>
      <c r="AC159" t="s">
        <v>310</v>
      </c>
    </row>
    <row r="160" spans="1:29" x14ac:dyDescent="0.35">
      <c r="A160" s="2" t="s">
        <v>424</v>
      </c>
      <c r="B160" s="2">
        <v>5</v>
      </c>
      <c r="C160" s="2">
        <v>52</v>
      </c>
      <c r="D160" s="2" t="s">
        <v>419</v>
      </c>
      <c r="E160" s="2">
        <v>1</v>
      </c>
      <c r="F160" s="2" t="s">
        <v>31</v>
      </c>
      <c r="G160" s="2">
        <v>50</v>
      </c>
      <c r="H160" s="4" t="s">
        <v>421</v>
      </c>
      <c r="I160" s="2" t="str">
        <f t="shared" si="14"/>
        <v>5.52.1</v>
      </c>
      <c r="J160" s="5">
        <f t="shared" si="15"/>
        <v>2.96</v>
      </c>
      <c r="K160" s="5">
        <f t="shared" si="16"/>
        <v>6.8</v>
      </c>
      <c r="L160" s="5">
        <f t="shared" si="17"/>
        <v>7.5</v>
      </c>
      <c r="M160" s="5">
        <f t="shared" si="18"/>
        <v>0.32200000000000001</v>
      </c>
      <c r="N160" s="5">
        <f t="shared" si="19"/>
        <v>17.259999999999998</v>
      </c>
      <c r="O160" s="2">
        <v>133</v>
      </c>
      <c r="P160" s="4" t="s">
        <v>291</v>
      </c>
      <c r="Q160">
        <v>10</v>
      </c>
      <c r="R160">
        <v>19</v>
      </c>
      <c r="S160">
        <v>22</v>
      </c>
      <c r="T160">
        <v>29.6</v>
      </c>
      <c r="U160">
        <v>68</v>
      </c>
      <c r="V160">
        <v>75</v>
      </c>
      <c r="W160" t="s">
        <v>50</v>
      </c>
      <c r="X160" t="s">
        <v>34</v>
      </c>
      <c r="Y160" t="s">
        <v>34</v>
      </c>
      <c r="Z160" t="s">
        <v>292</v>
      </c>
      <c r="AA160">
        <v>32.200000000000003</v>
      </c>
      <c r="AB160">
        <v>172.6</v>
      </c>
      <c r="AC160" t="s">
        <v>215</v>
      </c>
    </row>
    <row r="161" spans="1:29" x14ac:dyDescent="0.35">
      <c r="A161" s="2" t="s">
        <v>425</v>
      </c>
      <c r="B161" s="2">
        <v>5</v>
      </c>
      <c r="C161" s="2">
        <v>53</v>
      </c>
      <c r="D161" s="2" t="s">
        <v>420</v>
      </c>
      <c r="E161" s="2">
        <v>1</v>
      </c>
      <c r="F161" s="2" t="s">
        <v>423</v>
      </c>
      <c r="G161" s="2">
        <v>50</v>
      </c>
      <c r="H161" s="4" t="s">
        <v>422</v>
      </c>
      <c r="I161" s="2" t="str">
        <f t="shared" si="14"/>
        <v>5.53.1</v>
      </c>
      <c r="J161" s="5">
        <f t="shared" si="15"/>
        <v>2.59</v>
      </c>
      <c r="K161" s="5">
        <f t="shared" si="16"/>
        <v>5.8</v>
      </c>
      <c r="L161" s="5">
        <f t="shared" si="17"/>
        <v>4.5600000000000005</v>
      </c>
      <c r="M161" s="5">
        <v>0.4</v>
      </c>
      <c r="N161" s="5">
        <f t="shared" si="19"/>
        <v>12.950000000000001</v>
      </c>
      <c r="O161" s="2">
        <v>122</v>
      </c>
      <c r="P161" s="4" t="s">
        <v>53</v>
      </c>
      <c r="Q161">
        <v>8.5</v>
      </c>
      <c r="R161">
        <v>14</v>
      </c>
      <c r="S161">
        <v>7</v>
      </c>
      <c r="T161">
        <v>25.9</v>
      </c>
      <c r="U161">
        <v>58</v>
      </c>
      <c r="V161">
        <v>45.6</v>
      </c>
      <c r="W161" t="s">
        <v>50</v>
      </c>
      <c r="X161" t="s">
        <v>35</v>
      </c>
      <c r="Y161" t="s">
        <v>35</v>
      </c>
      <c r="Z161" t="s">
        <v>36</v>
      </c>
      <c r="AA161">
        <v>40</v>
      </c>
      <c r="AB161">
        <v>129.5</v>
      </c>
      <c r="AC161" t="s">
        <v>215</v>
      </c>
    </row>
  </sheetData>
  <conditionalFormatting sqref="J1:J1048576">
    <cfRule type="colorScale" priority="3">
      <colorScale>
        <cfvo type="min"/>
        <cfvo type="max"/>
        <color rgb="FFFCFCFF"/>
        <color rgb="FFFF0000"/>
      </colorScale>
    </cfRule>
  </conditionalFormatting>
  <conditionalFormatting sqref="K1:K1048576">
    <cfRule type="colorScale" priority="2">
      <colorScale>
        <cfvo type="min"/>
        <cfvo type="max"/>
        <color rgb="FFFCFCFF"/>
        <color rgb="FF00B0F0"/>
      </colorScale>
    </cfRule>
  </conditionalFormatting>
  <conditionalFormatting sqref="L1:L1048576">
    <cfRule type="colorScale" priority="1">
      <colorScale>
        <cfvo type="min"/>
        <cfvo type="max"/>
        <color rgb="FFFCFCFF"/>
        <color rgb="FF92D050"/>
      </colorScale>
    </cfRule>
  </conditionalFormatting>
  <conditionalFormatting sqref="M1:M1048576">
    <cfRule type="colorScale" priority="5">
      <colorScale>
        <cfvo type="num" val="-1"/>
        <cfvo type="percentile" val="50"/>
        <cfvo type="num" val="1"/>
        <color rgb="FFF8696B"/>
        <color rgb="FFFFEB84"/>
        <color rgb="FF63BE7B"/>
      </colorScale>
    </cfRule>
  </conditionalFormatting>
  <conditionalFormatting sqref="N1:N1048576">
    <cfRule type="colorScale" priority="4">
      <colorScale>
        <cfvo type="min"/>
        <cfvo type="max"/>
        <color theme="0" tint="-0.14999847407452621"/>
        <color rgb="FFFFFF00"/>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Kissinger</cp:lastModifiedBy>
  <dcterms:created xsi:type="dcterms:W3CDTF">2026-03-09T20:26:41Z</dcterms:created>
  <dcterms:modified xsi:type="dcterms:W3CDTF">2026-03-09T23:05:33Z</dcterms:modified>
</cp:coreProperties>
</file>