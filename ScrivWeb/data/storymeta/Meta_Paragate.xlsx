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kiss\Documents\autononymous.github.io\ScrivWeb\data\storymeta\"/>
    </mc:Choice>
  </mc:AlternateContent>
  <xr:revisionPtr revIDLastSave="0" documentId="11_E6FBF05B9734A78C39725027E8292E83430389D8" xr6:coauthVersionLast="47" xr6:coauthVersionMax="47" xr10:uidLastSave="{00000000-0000-0000-0000-000000000000}"/>
  <bookViews>
    <workbookView xWindow="14430" yWindow="-21600" windowWidth="38610" windowHeight="21705" xr2:uid="{00000000-000D-0000-FFFF-FFFF00000000}"/>
  </bookViews>
  <sheets>
    <sheet name="index" sheetId="1" r:id="rId1"/>
  </sheets>
  <definedNames>
    <definedName name="_xlnm._FilterDatabase" localSheetId="0" hidden="1">index!$A$1:$AS$161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61" i="1" l="1"/>
  <c r="AH161" i="1"/>
  <c r="AG161" i="1"/>
  <c r="AB161" i="1"/>
  <c r="AP161" i="1" s="1"/>
  <c r="AA161" i="1"/>
  <c r="L161" i="1"/>
  <c r="K161" i="1"/>
  <c r="J161" i="1"/>
  <c r="N161" i="1" s="1"/>
  <c r="AP160" i="1"/>
  <c r="AO160" i="1"/>
  <c r="AH160" i="1"/>
  <c r="AG160" i="1"/>
  <c r="AB160" i="1"/>
  <c r="AA160" i="1"/>
  <c r="L160" i="1"/>
  <c r="K160" i="1"/>
  <c r="J160" i="1"/>
  <c r="N160" i="1" s="1"/>
  <c r="AO159" i="1"/>
  <c r="AH159" i="1"/>
  <c r="AG159" i="1"/>
  <c r="AB159" i="1"/>
  <c r="AP159" i="1" s="1"/>
  <c r="AA159" i="1"/>
  <c r="L159" i="1"/>
  <c r="K159" i="1"/>
  <c r="J159" i="1"/>
  <c r="N159" i="1" s="1"/>
  <c r="AO158" i="1"/>
  <c r="AP158" i="1" s="1"/>
  <c r="AH158" i="1"/>
  <c r="AG158" i="1"/>
  <c r="AB158" i="1"/>
  <c r="AA158" i="1"/>
  <c r="L158" i="1"/>
  <c r="K158" i="1"/>
  <c r="J158" i="1"/>
  <c r="N158" i="1" s="1"/>
  <c r="AO157" i="1"/>
  <c r="AH157" i="1"/>
  <c r="AG157" i="1"/>
  <c r="AB157" i="1"/>
  <c r="AP157" i="1" s="1"/>
  <c r="AA157" i="1"/>
  <c r="L157" i="1"/>
  <c r="N157" i="1" s="1"/>
  <c r="K157" i="1"/>
  <c r="J157" i="1"/>
  <c r="AO156" i="1"/>
  <c r="AH156" i="1"/>
  <c r="AG156" i="1"/>
  <c r="AB156" i="1"/>
  <c r="AP156" i="1" s="1"/>
  <c r="AA156" i="1"/>
  <c r="L156" i="1"/>
  <c r="K156" i="1"/>
  <c r="N156" i="1" s="1"/>
  <c r="J156" i="1"/>
  <c r="AO155" i="1"/>
  <c r="AP155" i="1" s="1"/>
  <c r="AH155" i="1"/>
  <c r="AG155" i="1"/>
  <c r="AB155" i="1"/>
  <c r="AA155" i="1"/>
  <c r="N155" i="1"/>
  <c r="L155" i="1"/>
  <c r="K155" i="1"/>
  <c r="J155" i="1"/>
  <c r="AO154" i="1"/>
  <c r="AH154" i="1"/>
  <c r="AG154" i="1"/>
  <c r="AB154" i="1"/>
  <c r="AP154" i="1" s="1"/>
  <c r="AA154" i="1"/>
  <c r="L154" i="1"/>
  <c r="N154" i="1" s="1"/>
  <c r="K154" i="1"/>
  <c r="J154" i="1"/>
  <c r="AO153" i="1"/>
  <c r="AH153" i="1"/>
  <c r="AG153" i="1"/>
  <c r="AB153" i="1"/>
  <c r="AP153" i="1" s="1"/>
  <c r="AA153" i="1"/>
  <c r="L153" i="1"/>
  <c r="K153" i="1"/>
  <c r="J153" i="1"/>
  <c r="N153" i="1" s="1"/>
  <c r="AP152" i="1"/>
  <c r="AO152" i="1"/>
  <c r="AH152" i="1"/>
  <c r="AG152" i="1"/>
  <c r="AB152" i="1"/>
  <c r="AA152" i="1"/>
  <c r="L152" i="1"/>
  <c r="K152" i="1"/>
  <c r="J152" i="1"/>
  <c r="N152" i="1" s="1"/>
  <c r="AO151" i="1"/>
  <c r="AH151" i="1"/>
  <c r="AG151" i="1"/>
  <c r="AB151" i="1"/>
  <c r="AP151" i="1" s="1"/>
  <c r="AA151" i="1"/>
  <c r="L151" i="1"/>
  <c r="K151" i="1"/>
  <c r="J151" i="1"/>
  <c r="N151" i="1" s="1"/>
  <c r="AO150" i="1"/>
  <c r="AP150" i="1" s="1"/>
  <c r="AH150" i="1"/>
  <c r="AG150" i="1"/>
  <c r="AB150" i="1"/>
  <c r="AA150" i="1"/>
  <c r="L150" i="1"/>
  <c r="K150" i="1"/>
  <c r="J150" i="1"/>
  <c r="N150" i="1" s="1"/>
  <c r="AO149" i="1"/>
  <c r="AH149" i="1"/>
  <c r="AG149" i="1"/>
  <c r="AB149" i="1"/>
  <c r="AP149" i="1" s="1"/>
  <c r="AA149" i="1"/>
  <c r="L149" i="1"/>
  <c r="N149" i="1" s="1"/>
  <c r="K149" i="1"/>
  <c r="J149" i="1"/>
  <c r="AO148" i="1"/>
  <c r="AH148" i="1"/>
  <c r="AG148" i="1"/>
  <c r="AB148" i="1"/>
  <c r="AP148" i="1" s="1"/>
  <c r="AA148" i="1"/>
  <c r="L148" i="1"/>
  <c r="K148" i="1"/>
  <c r="N148" i="1" s="1"/>
  <c r="J148" i="1"/>
  <c r="AO147" i="1"/>
  <c r="AP147" i="1" s="1"/>
  <c r="AH147" i="1"/>
  <c r="AG147" i="1"/>
  <c r="AB147" i="1"/>
  <c r="AA147" i="1"/>
  <c r="N147" i="1"/>
  <c r="L147" i="1"/>
  <c r="K147" i="1"/>
  <c r="J147" i="1"/>
  <c r="AO146" i="1"/>
  <c r="AH146" i="1"/>
  <c r="AG146" i="1"/>
  <c r="AB146" i="1"/>
  <c r="AP146" i="1" s="1"/>
  <c r="AA146" i="1"/>
  <c r="L146" i="1"/>
  <c r="N146" i="1" s="1"/>
  <c r="K146" i="1"/>
  <c r="J146" i="1"/>
  <c r="AO145" i="1"/>
  <c r="AH145" i="1"/>
  <c r="AG145" i="1"/>
  <c r="AB145" i="1"/>
  <c r="AP145" i="1" s="1"/>
  <c r="AA145" i="1"/>
  <c r="L145" i="1"/>
  <c r="K145" i="1"/>
  <c r="J145" i="1"/>
  <c r="N145" i="1" s="1"/>
  <c r="AP144" i="1"/>
  <c r="AO144" i="1"/>
  <c r="AH144" i="1"/>
  <c r="AG144" i="1"/>
  <c r="AB144" i="1"/>
  <c r="AA144" i="1"/>
  <c r="L144" i="1"/>
  <c r="K144" i="1"/>
  <c r="J144" i="1"/>
  <c r="N144" i="1" s="1"/>
  <c r="AO143" i="1"/>
  <c r="AH143" i="1"/>
  <c r="AG143" i="1"/>
  <c r="AB143" i="1"/>
  <c r="AP143" i="1" s="1"/>
  <c r="AA143" i="1"/>
  <c r="L143" i="1"/>
  <c r="K143" i="1"/>
  <c r="J143" i="1"/>
  <c r="N143" i="1" s="1"/>
  <c r="AO142" i="1"/>
  <c r="AP142" i="1" s="1"/>
  <c r="AH142" i="1"/>
  <c r="AG142" i="1"/>
  <c r="AB142" i="1"/>
  <c r="AA142" i="1"/>
  <c r="L142" i="1"/>
  <c r="K142" i="1"/>
  <c r="J142" i="1"/>
  <c r="N142" i="1" s="1"/>
  <c r="AO141" i="1"/>
  <c r="AH141" i="1"/>
  <c r="AG141" i="1"/>
  <c r="AB141" i="1"/>
  <c r="AP141" i="1" s="1"/>
  <c r="AA141" i="1"/>
  <c r="L141" i="1"/>
  <c r="N141" i="1" s="1"/>
  <c r="K141" i="1"/>
  <c r="J141" i="1"/>
  <c r="AO140" i="1"/>
  <c r="AH140" i="1"/>
  <c r="AG140" i="1"/>
  <c r="AB140" i="1"/>
  <c r="AP140" i="1" s="1"/>
  <c r="AA140" i="1"/>
  <c r="L140" i="1"/>
  <c r="K140" i="1"/>
  <c r="N140" i="1" s="1"/>
  <c r="J140" i="1"/>
  <c r="AO139" i="1"/>
  <c r="AP139" i="1" s="1"/>
  <c r="AH139" i="1"/>
  <c r="AG139" i="1"/>
  <c r="AB139" i="1"/>
  <c r="AA139" i="1"/>
  <c r="N139" i="1"/>
  <c r="L139" i="1"/>
  <c r="K139" i="1"/>
  <c r="J139" i="1"/>
  <c r="AO138" i="1"/>
  <c r="AH138" i="1"/>
  <c r="AG138" i="1"/>
  <c r="AB138" i="1"/>
  <c r="AP138" i="1" s="1"/>
  <c r="AA138" i="1"/>
  <c r="L138" i="1"/>
  <c r="K138" i="1"/>
  <c r="J138" i="1"/>
  <c r="N138" i="1" s="1"/>
  <c r="AO137" i="1"/>
  <c r="AH137" i="1"/>
  <c r="AG137" i="1"/>
  <c r="AB137" i="1"/>
  <c r="AP137" i="1" s="1"/>
  <c r="AA137" i="1"/>
  <c r="L137" i="1"/>
  <c r="K137" i="1"/>
  <c r="J137" i="1"/>
  <c r="N137" i="1" s="1"/>
  <c r="AP136" i="1"/>
  <c r="AO136" i="1"/>
  <c r="AH136" i="1"/>
  <c r="AG136" i="1"/>
  <c r="AB136" i="1"/>
  <c r="AA136" i="1"/>
  <c r="L136" i="1"/>
  <c r="K136" i="1"/>
  <c r="J136" i="1"/>
  <c r="N136" i="1" s="1"/>
  <c r="AO135" i="1"/>
  <c r="AH135" i="1"/>
  <c r="AG135" i="1"/>
  <c r="AB135" i="1"/>
  <c r="AP135" i="1" s="1"/>
  <c r="AA135" i="1"/>
  <c r="L135" i="1"/>
  <c r="K135" i="1"/>
  <c r="J135" i="1"/>
  <c r="N135" i="1" s="1"/>
  <c r="AO134" i="1"/>
  <c r="AP134" i="1" s="1"/>
  <c r="AH134" i="1"/>
  <c r="AG134" i="1"/>
  <c r="AB134" i="1"/>
  <c r="AA134" i="1"/>
  <c r="L134" i="1"/>
  <c r="K134" i="1"/>
  <c r="J134" i="1"/>
  <c r="N134" i="1" s="1"/>
  <c r="AO133" i="1"/>
  <c r="AH133" i="1"/>
  <c r="AG133" i="1"/>
  <c r="AB133" i="1"/>
  <c r="AP133" i="1" s="1"/>
  <c r="AA133" i="1"/>
  <c r="L133" i="1"/>
  <c r="N133" i="1" s="1"/>
  <c r="K133" i="1"/>
  <c r="J133" i="1"/>
  <c r="AO132" i="1"/>
  <c r="AH132" i="1"/>
  <c r="AG132" i="1"/>
  <c r="AB132" i="1"/>
  <c r="AP132" i="1" s="1"/>
  <c r="AA132" i="1"/>
  <c r="L132" i="1"/>
  <c r="K132" i="1"/>
  <c r="N132" i="1" s="1"/>
  <c r="J132" i="1"/>
  <c r="AO131" i="1"/>
  <c r="AP131" i="1" s="1"/>
  <c r="AH131" i="1"/>
  <c r="AG131" i="1"/>
  <c r="AB131" i="1"/>
  <c r="AA131" i="1"/>
  <c r="N131" i="1"/>
  <c r="L131" i="1"/>
  <c r="K131" i="1"/>
  <c r="J131" i="1"/>
  <c r="AO130" i="1"/>
  <c r="AH130" i="1"/>
  <c r="AG130" i="1"/>
  <c r="AB130" i="1"/>
  <c r="AP130" i="1" s="1"/>
  <c r="AA130" i="1"/>
  <c r="L130" i="1"/>
  <c r="K130" i="1"/>
  <c r="J130" i="1"/>
  <c r="N130" i="1" s="1"/>
  <c r="AO129" i="1"/>
  <c r="AH129" i="1"/>
  <c r="AG129" i="1"/>
  <c r="AB129" i="1"/>
  <c r="AP129" i="1" s="1"/>
  <c r="AA129" i="1"/>
  <c r="L129" i="1"/>
  <c r="K129" i="1"/>
  <c r="J129" i="1"/>
  <c r="N129" i="1" s="1"/>
  <c r="AP128" i="1"/>
  <c r="AO128" i="1"/>
  <c r="AH128" i="1"/>
  <c r="AG128" i="1"/>
  <c r="AB128" i="1"/>
  <c r="AA128" i="1"/>
  <c r="L128" i="1"/>
  <c r="K128" i="1"/>
  <c r="J128" i="1"/>
  <c r="N128" i="1" s="1"/>
  <c r="AO127" i="1"/>
  <c r="AH127" i="1"/>
  <c r="AG127" i="1"/>
  <c r="AB127" i="1"/>
  <c r="AP127" i="1" s="1"/>
  <c r="AA127" i="1"/>
  <c r="L127" i="1"/>
  <c r="K127" i="1"/>
  <c r="J127" i="1"/>
  <c r="N127" i="1" s="1"/>
  <c r="AO126" i="1"/>
  <c r="AP126" i="1" s="1"/>
  <c r="AH126" i="1"/>
  <c r="AG126" i="1"/>
  <c r="AB126" i="1"/>
  <c r="AA126" i="1"/>
  <c r="L126" i="1"/>
  <c r="K126" i="1"/>
  <c r="J126" i="1"/>
  <c r="N126" i="1" s="1"/>
  <c r="AO125" i="1"/>
  <c r="AH125" i="1"/>
  <c r="AG125" i="1"/>
  <c r="AB125" i="1"/>
  <c r="AP125" i="1" s="1"/>
  <c r="AA125" i="1"/>
  <c r="L125" i="1"/>
  <c r="N125" i="1" s="1"/>
  <c r="K125" i="1"/>
  <c r="J125" i="1"/>
  <c r="AO124" i="1"/>
  <c r="AH124" i="1"/>
  <c r="AG124" i="1"/>
  <c r="AB124" i="1"/>
  <c r="AP124" i="1" s="1"/>
  <c r="AA124" i="1"/>
  <c r="L124" i="1"/>
  <c r="K124" i="1"/>
  <c r="N124" i="1" s="1"/>
  <c r="J124" i="1"/>
  <c r="AO123" i="1"/>
  <c r="AP123" i="1" s="1"/>
  <c r="AH123" i="1"/>
  <c r="AG123" i="1"/>
  <c r="AB123" i="1"/>
  <c r="AA123" i="1"/>
  <c r="N123" i="1"/>
  <c r="L123" i="1"/>
  <c r="K123" i="1"/>
  <c r="J123" i="1"/>
  <c r="AO122" i="1"/>
  <c r="AH122" i="1"/>
  <c r="AG122" i="1"/>
  <c r="AB122" i="1"/>
  <c r="AP122" i="1" s="1"/>
  <c r="AA122" i="1"/>
  <c r="L122" i="1"/>
  <c r="K122" i="1"/>
  <c r="J122" i="1"/>
  <c r="N122" i="1" s="1"/>
  <c r="AO121" i="1"/>
  <c r="AH121" i="1"/>
  <c r="AG121" i="1"/>
  <c r="AB121" i="1"/>
  <c r="AP121" i="1" s="1"/>
  <c r="AA121" i="1"/>
  <c r="L121" i="1"/>
  <c r="K121" i="1"/>
  <c r="J121" i="1"/>
  <c r="N121" i="1" s="1"/>
  <c r="AP120" i="1"/>
  <c r="AO120" i="1"/>
  <c r="AH120" i="1"/>
  <c r="AG120" i="1"/>
  <c r="AB120" i="1"/>
  <c r="AA120" i="1"/>
  <c r="L120" i="1"/>
  <c r="K120" i="1"/>
  <c r="J120" i="1"/>
  <c r="N120" i="1" s="1"/>
  <c r="AO119" i="1"/>
  <c r="AH119" i="1"/>
  <c r="AG119" i="1"/>
  <c r="AB119" i="1"/>
  <c r="AP119" i="1" s="1"/>
  <c r="AA119" i="1"/>
  <c r="L119" i="1"/>
  <c r="K119" i="1"/>
  <c r="J119" i="1"/>
  <c r="N119" i="1" s="1"/>
  <c r="AO118" i="1"/>
  <c r="AP118" i="1" s="1"/>
  <c r="AH118" i="1"/>
  <c r="AG118" i="1"/>
  <c r="AB118" i="1"/>
  <c r="AA118" i="1"/>
  <c r="L118" i="1"/>
  <c r="K118" i="1"/>
  <c r="J118" i="1"/>
  <c r="N118" i="1" s="1"/>
  <c r="AO117" i="1"/>
  <c r="AH117" i="1"/>
  <c r="AG117" i="1"/>
  <c r="AB117" i="1"/>
  <c r="AP117" i="1" s="1"/>
  <c r="AA117" i="1"/>
  <c r="L117" i="1"/>
  <c r="N117" i="1" s="1"/>
  <c r="K117" i="1"/>
  <c r="J117" i="1"/>
  <c r="AO116" i="1"/>
  <c r="AH116" i="1"/>
  <c r="AG116" i="1"/>
  <c r="AB116" i="1"/>
  <c r="AP116" i="1" s="1"/>
  <c r="AA116" i="1"/>
  <c r="L116" i="1"/>
  <c r="K116" i="1"/>
  <c r="N116" i="1" s="1"/>
  <c r="J116" i="1"/>
  <c r="AO115" i="1"/>
  <c r="AP115" i="1" s="1"/>
  <c r="AH115" i="1"/>
  <c r="AG115" i="1"/>
  <c r="AB115" i="1"/>
  <c r="AA115" i="1"/>
  <c r="N115" i="1"/>
  <c r="L115" i="1"/>
  <c r="K115" i="1"/>
  <c r="J115" i="1"/>
  <c r="AO114" i="1"/>
  <c r="AH114" i="1"/>
  <c r="AG114" i="1"/>
  <c r="AB114" i="1"/>
  <c r="AP114" i="1" s="1"/>
  <c r="AA114" i="1"/>
  <c r="L114" i="1"/>
  <c r="K114" i="1"/>
  <c r="J114" i="1"/>
  <c r="N114" i="1" s="1"/>
  <c r="AO113" i="1"/>
  <c r="AH113" i="1"/>
  <c r="AG113" i="1"/>
  <c r="AB113" i="1"/>
  <c r="AP113" i="1" s="1"/>
  <c r="AA113" i="1"/>
  <c r="L113" i="1"/>
  <c r="K113" i="1"/>
  <c r="J113" i="1"/>
  <c r="N113" i="1" s="1"/>
  <c r="AP112" i="1"/>
  <c r="AO112" i="1"/>
  <c r="AH112" i="1"/>
  <c r="AG112" i="1"/>
  <c r="AB112" i="1"/>
  <c r="AA112" i="1"/>
  <c r="L112" i="1"/>
  <c r="K112" i="1"/>
  <c r="J112" i="1"/>
  <c r="N112" i="1" s="1"/>
  <c r="AO111" i="1"/>
  <c r="AH111" i="1"/>
  <c r="AG111" i="1"/>
  <c r="AB111" i="1"/>
  <c r="AP111" i="1" s="1"/>
  <c r="AA111" i="1"/>
  <c r="L111" i="1"/>
  <c r="K111" i="1"/>
  <c r="J111" i="1"/>
  <c r="N111" i="1" s="1"/>
  <c r="AO110" i="1"/>
  <c r="AP110" i="1" s="1"/>
  <c r="AH110" i="1"/>
  <c r="AG110" i="1"/>
  <c r="AB110" i="1"/>
  <c r="AA110" i="1"/>
  <c r="L110" i="1"/>
  <c r="K110" i="1"/>
  <c r="J110" i="1"/>
  <c r="N110" i="1" s="1"/>
  <c r="AO109" i="1"/>
  <c r="AH109" i="1"/>
  <c r="AG109" i="1"/>
  <c r="AB109" i="1"/>
  <c r="AP109" i="1" s="1"/>
  <c r="AA109" i="1"/>
  <c r="L109" i="1"/>
  <c r="N109" i="1" s="1"/>
  <c r="K109" i="1"/>
  <c r="J109" i="1"/>
  <c r="AO108" i="1"/>
  <c r="AH108" i="1"/>
  <c r="AG108" i="1"/>
  <c r="AB108" i="1"/>
  <c r="AP108" i="1" s="1"/>
  <c r="AA108" i="1"/>
  <c r="L108" i="1"/>
  <c r="K108" i="1"/>
  <c r="N108" i="1" s="1"/>
  <c r="J108" i="1"/>
  <c r="AO107" i="1"/>
  <c r="AP107" i="1" s="1"/>
  <c r="AH107" i="1"/>
  <c r="AG107" i="1"/>
  <c r="AB107" i="1"/>
  <c r="AA107" i="1"/>
  <c r="N107" i="1"/>
  <c r="L107" i="1"/>
  <c r="K107" i="1"/>
  <c r="J107" i="1"/>
  <c r="AO106" i="1"/>
  <c r="AH106" i="1"/>
  <c r="AG106" i="1"/>
  <c r="AB106" i="1"/>
  <c r="AP106" i="1" s="1"/>
  <c r="AA106" i="1"/>
  <c r="L106" i="1"/>
  <c r="K106" i="1"/>
  <c r="J106" i="1"/>
  <c r="N106" i="1" s="1"/>
  <c r="AO105" i="1"/>
  <c r="AP105" i="1" s="1"/>
  <c r="AH105" i="1"/>
  <c r="AG105" i="1"/>
  <c r="AB105" i="1"/>
  <c r="AA105" i="1"/>
  <c r="L105" i="1"/>
  <c r="K105" i="1"/>
  <c r="J105" i="1"/>
  <c r="N105" i="1" s="1"/>
  <c r="AP104" i="1"/>
  <c r="AO104" i="1"/>
  <c r="AH104" i="1"/>
  <c r="AG104" i="1"/>
  <c r="AB104" i="1"/>
  <c r="AA104" i="1"/>
  <c r="L104" i="1"/>
  <c r="K104" i="1"/>
  <c r="J104" i="1"/>
  <c r="N104" i="1" s="1"/>
  <c r="AO103" i="1"/>
  <c r="AH103" i="1"/>
  <c r="AG103" i="1"/>
  <c r="AB103" i="1"/>
  <c r="AP103" i="1" s="1"/>
  <c r="AA103" i="1"/>
  <c r="L103" i="1"/>
  <c r="K103" i="1"/>
  <c r="J103" i="1"/>
  <c r="N103" i="1" s="1"/>
  <c r="AO102" i="1"/>
  <c r="AP102" i="1" s="1"/>
  <c r="AH102" i="1"/>
  <c r="AG102" i="1"/>
  <c r="AB102" i="1"/>
  <c r="AA102" i="1"/>
  <c r="L102" i="1"/>
  <c r="K102" i="1"/>
  <c r="J102" i="1"/>
  <c r="N102" i="1" s="1"/>
  <c r="AO101" i="1"/>
  <c r="AH101" i="1"/>
  <c r="AG101" i="1"/>
  <c r="AB101" i="1"/>
  <c r="AP101" i="1" s="1"/>
  <c r="AA101" i="1"/>
  <c r="L101" i="1"/>
  <c r="N101" i="1" s="1"/>
  <c r="K101" i="1"/>
  <c r="J101" i="1"/>
  <c r="AO100" i="1"/>
  <c r="AH100" i="1"/>
  <c r="AG100" i="1"/>
  <c r="AB100" i="1"/>
  <c r="AP100" i="1" s="1"/>
  <c r="AA100" i="1"/>
  <c r="L100" i="1"/>
  <c r="K100" i="1"/>
  <c r="N100" i="1" s="1"/>
  <c r="J100" i="1"/>
  <c r="AO99" i="1"/>
  <c r="AP99" i="1" s="1"/>
  <c r="AH99" i="1"/>
  <c r="AG99" i="1"/>
  <c r="AB99" i="1"/>
  <c r="AA99" i="1"/>
  <c r="N99" i="1"/>
  <c r="L99" i="1"/>
  <c r="K99" i="1"/>
  <c r="J99" i="1"/>
  <c r="AO98" i="1"/>
  <c r="AH98" i="1"/>
  <c r="AG98" i="1"/>
  <c r="AB98" i="1"/>
  <c r="AP98" i="1" s="1"/>
  <c r="AA98" i="1"/>
  <c r="L98" i="1"/>
  <c r="K98" i="1"/>
  <c r="J98" i="1"/>
  <c r="N98" i="1" s="1"/>
  <c r="AO97" i="1"/>
  <c r="AP97" i="1" s="1"/>
  <c r="AH97" i="1"/>
  <c r="AG97" i="1"/>
  <c r="AB97" i="1"/>
  <c r="AA97" i="1"/>
  <c r="L97" i="1"/>
  <c r="K97" i="1"/>
  <c r="J97" i="1"/>
  <c r="N97" i="1" s="1"/>
  <c r="AP96" i="1"/>
  <c r="AO96" i="1"/>
  <c r="AH96" i="1"/>
  <c r="AG96" i="1"/>
  <c r="AB96" i="1"/>
  <c r="AA96" i="1"/>
  <c r="L96" i="1"/>
  <c r="K96" i="1"/>
  <c r="J96" i="1"/>
  <c r="N96" i="1" s="1"/>
  <c r="AO95" i="1"/>
  <c r="AH95" i="1"/>
  <c r="AG95" i="1"/>
  <c r="AB95" i="1"/>
  <c r="AP95" i="1" s="1"/>
  <c r="AA95" i="1"/>
  <c r="L95" i="1"/>
  <c r="K95" i="1"/>
  <c r="J95" i="1"/>
  <c r="N95" i="1" s="1"/>
  <c r="AO94" i="1"/>
  <c r="AP94" i="1" s="1"/>
  <c r="AH94" i="1"/>
  <c r="AG94" i="1"/>
  <c r="AB94" i="1"/>
  <c r="AA94" i="1"/>
  <c r="L94" i="1"/>
  <c r="K94" i="1"/>
  <c r="J94" i="1"/>
  <c r="N94" i="1" s="1"/>
  <c r="AO93" i="1"/>
  <c r="AH93" i="1"/>
  <c r="AG93" i="1"/>
  <c r="AB93" i="1"/>
  <c r="AP93" i="1" s="1"/>
  <c r="AA93" i="1"/>
  <c r="L93" i="1"/>
  <c r="N93" i="1" s="1"/>
  <c r="K93" i="1"/>
  <c r="J93" i="1"/>
  <c r="AO92" i="1"/>
  <c r="AH92" i="1"/>
  <c r="AG92" i="1"/>
  <c r="AB92" i="1"/>
  <c r="AP92" i="1" s="1"/>
  <c r="AA92" i="1"/>
  <c r="L92" i="1"/>
  <c r="K92" i="1"/>
  <c r="N92" i="1" s="1"/>
  <c r="J92" i="1"/>
  <c r="AO91" i="1"/>
  <c r="AP91" i="1" s="1"/>
  <c r="AH91" i="1"/>
  <c r="AG91" i="1"/>
  <c r="AB91" i="1"/>
  <c r="AA91" i="1"/>
  <c r="L91" i="1"/>
  <c r="K91" i="1"/>
  <c r="J91" i="1"/>
  <c r="N91" i="1" s="1"/>
  <c r="AO90" i="1"/>
  <c r="AH90" i="1"/>
  <c r="AG90" i="1"/>
  <c r="AB90" i="1"/>
  <c r="AP90" i="1" s="1"/>
  <c r="AA90" i="1"/>
  <c r="L90" i="1"/>
  <c r="K90" i="1"/>
  <c r="J90" i="1"/>
  <c r="N90" i="1" s="1"/>
  <c r="AO89" i="1"/>
  <c r="AP89" i="1" s="1"/>
  <c r="AH89" i="1"/>
  <c r="AG89" i="1"/>
  <c r="AB89" i="1"/>
  <c r="AA89" i="1"/>
  <c r="L89" i="1"/>
  <c r="K89" i="1"/>
  <c r="J89" i="1"/>
  <c r="N89" i="1" s="1"/>
  <c r="AP88" i="1"/>
  <c r="AO88" i="1"/>
  <c r="AH88" i="1"/>
  <c r="AG88" i="1"/>
  <c r="AB88" i="1"/>
  <c r="AA88" i="1"/>
  <c r="L88" i="1"/>
  <c r="K88" i="1"/>
  <c r="J88" i="1"/>
  <c r="N88" i="1" s="1"/>
  <c r="AO87" i="1"/>
  <c r="AH87" i="1"/>
  <c r="AG87" i="1"/>
  <c r="AB87" i="1"/>
  <c r="AP87" i="1" s="1"/>
  <c r="AA87" i="1"/>
  <c r="L87" i="1"/>
  <c r="K87" i="1"/>
  <c r="J87" i="1"/>
  <c r="N87" i="1" s="1"/>
  <c r="AO86" i="1"/>
  <c r="AP86" i="1" s="1"/>
  <c r="AH86" i="1"/>
  <c r="AG86" i="1"/>
  <c r="AB86" i="1"/>
  <c r="AA86" i="1"/>
  <c r="L86" i="1"/>
  <c r="K86" i="1"/>
  <c r="J86" i="1"/>
  <c r="N86" i="1" s="1"/>
  <c r="AO85" i="1"/>
  <c r="AH85" i="1"/>
  <c r="AG85" i="1"/>
  <c r="AB85" i="1"/>
  <c r="AP85" i="1" s="1"/>
  <c r="AA85" i="1"/>
  <c r="L85" i="1"/>
  <c r="N85" i="1" s="1"/>
  <c r="K85" i="1"/>
  <c r="J85" i="1"/>
  <c r="AO84" i="1"/>
  <c r="AH84" i="1"/>
  <c r="AG84" i="1"/>
  <c r="AB84" i="1"/>
  <c r="AP84" i="1" s="1"/>
  <c r="AA84" i="1"/>
  <c r="L84" i="1"/>
  <c r="K84" i="1"/>
  <c r="N84" i="1" s="1"/>
  <c r="J84" i="1"/>
  <c r="AO83" i="1"/>
  <c r="AP83" i="1" s="1"/>
  <c r="AH83" i="1"/>
  <c r="AG83" i="1"/>
  <c r="AB83" i="1"/>
  <c r="AA83" i="1"/>
  <c r="L83" i="1"/>
  <c r="K83" i="1"/>
  <c r="J83" i="1"/>
  <c r="N83" i="1" s="1"/>
  <c r="AO82" i="1"/>
  <c r="AH82" i="1"/>
  <c r="AG82" i="1"/>
  <c r="AB82" i="1"/>
  <c r="AP82" i="1" s="1"/>
  <c r="AA82" i="1"/>
  <c r="L82" i="1"/>
  <c r="K82" i="1"/>
  <c r="J82" i="1"/>
  <c r="N82" i="1" s="1"/>
  <c r="AO81" i="1"/>
  <c r="AH81" i="1"/>
  <c r="AG81" i="1"/>
  <c r="AB81" i="1"/>
  <c r="AP81" i="1" s="1"/>
  <c r="AA81" i="1"/>
  <c r="L81" i="1"/>
  <c r="K81" i="1"/>
  <c r="J81" i="1"/>
  <c r="N81" i="1" s="1"/>
  <c r="AP80" i="1"/>
  <c r="AO80" i="1"/>
  <c r="AH80" i="1"/>
  <c r="AG80" i="1"/>
  <c r="AB80" i="1"/>
  <c r="AA80" i="1"/>
  <c r="L80" i="1"/>
  <c r="K80" i="1"/>
  <c r="J80" i="1"/>
  <c r="N80" i="1" s="1"/>
  <c r="AO79" i="1"/>
  <c r="AH79" i="1"/>
  <c r="AG79" i="1"/>
  <c r="AB79" i="1"/>
  <c r="AP79" i="1" s="1"/>
  <c r="AA79" i="1"/>
  <c r="L79" i="1"/>
  <c r="K79" i="1"/>
  <c r="J79" i="1"/>
  <c r="N79" i="1" s="1"/>
  <c r="AO78" i="1"/>
  <c r="AP78" i="1" s="1"/>
  <c r="AH78" i="1"/>
  <c r="AG78" i="1"/>
  <c r="AB78" i="1"/>
  <c r="AA78" i="1"/>
  <c r="L78" i="1"/>
  <c r="K78" i="1"/>
  <c r="J78" i="1"/>
  <c r="N78" i="1" s="1"/>
  <c r="AO77" i="1"/>
  <c r="AH77" i="1"/>
  <c r="AG77" i="1"/>
  <c r="AB77" i="1"/>
  <c r="AP77" i="1" s="1"/>
  <c r="AA77" i="1"/>
  <c r="L77" i="1"/>
  <c r="N77" i="1" s="1"/>
  <c r="K77" i="1"/>
  <c r="J77" i="1"/>
  <c r="AO76" i="1"/>
  <c r="AH76" i="1"/>
  <c r="AG76" i="1"/>
  <c r="AB76" i="1"/>
  <c r="AP76" i="1" s="1"/>
  <c r="AA76" i="1"/>
  <c r="L76" i="1"/>
  <c r="K76" i="1"/>
  <c r="N76" i="1" s="1"/>
  <c r="J76" i="1"/>
  <c r="AO75" i="1"/>
  <c r="AP75" i="1" s="1"/>
  <c r="AH75" i="1"/>
  <c r="AG75" i="1"/>
  <c r="AB75" i="1"/>
  <c r="AA75" i="1"/>
  <c r="L75" i="1"/>
  <c r="K75" i="1"/>
  <c r="J75" i="1"/>
  <c r="N75" i="1" s="1"/>
  <c r="AO74" i="1"/>
  <c r="AH74" i="1"/>
  <c r="AG74" i="1"/>
  <c r="AB74" i="1"/>
  <c r="AP74" i="1" s="1"/>
  <c r="AA74" i="1"/>
  <c r="L74" i="1"/>
  <c r="K74" i="1"/>
  <c r="J74" i="1"/>
  <c r="N74" i="1" s="1"/>
  <c r="AO73" i="1"/>
  <c r="AH73" i="1"/>
  <c r="AG73" i="1"/>
  <c r="AB73" i="1"/>
  <c r="AP73" i="1" s="1"/>
  <c r="AA73" i="1"/>
  <c r="L73" i="1"/>
  <c r="K73" i="1"/>
  <c r="J73" i="1"/>
  <c r="N73" i="1" s="1"/>
  <c r="AP72" i="1"/>
  <c r="AO72" i="1"/>
  <c r="AH72" i="1"/>
  <c r="AG72" i="1"/>
  <c r="AB72" i="1"/>
  <c r="AA72" i="1"/>
  <c r="L72" i="1"/>
  <c r="K72" i="1"/>
  <c r="J72" i="1"/>
  <c r="N72" i="1" s="1"/>
  <c r="AO71" i="1"/>
  <c r="AH71" i="1"/>
  <c r="AG71" i="1"/>
  <c r="AB71" i="1"/>
  <c r="AP71" i="1" s="1"/>
  <c r="AA71" i="1"/>
  <c r="L71" i="1"/>
  <c r="K71" i="1"/>
  <c r="J71" i="1"/>
  <c r="N71" i="1" s="1"/>
  <c r="AO70" i="1"/>
  <c r="AP70" i="1" s="1"/>
  <c r="AH70" i="1"/>
  <c r="AG70" i="1"/>
  <c r="AB70" i="1"/>
  <c r="AA70" i="1"/>
  <c r="L70" i="1"/>
  <c r="K70" i="1"/>
  <c r="J70" i="1"/>
  <c r="N70" i="1" s="1"/>
  <c r="AO69" i="1"/>
  <c r="AH69" i="1"/>
  <c r="AG69" i="1"/>
  <c r="AB69" i="1"/>
  <c r="AP69" i="1" s="1"/>
  <c r="AA69" i="1"/>
  <c r="L69" i="1"/>
  <c r="N69" i="1" s="1"/>
  <c r="K69" i="1"/>
  <c r="J69" i="1"/>
  <c r="AO68" i="1"/>
  <c r="AH68" i="1"/>
  <c r="AG68" i="1"/>
  <c r="AB68" i="1"/>
  <c r="AP68" i="1" s="1"/>
  <c r="AA68" i="1"/>
  <c r="L68" i="1"/>
  <c r="K68" i="1"/>
  <c r="N68" i="1" s="1"/>
  <c r="J68" i="1"/>
  <c r="AO67" i="1"/>
  <c r="AP67" i="1" s="1"/>
  <c r="AH67" i="1"/>
  <c r="AG67" i="1"/>
  <c r="AB67" i="1"/>
  <c r="AA67" i="1"/>
  <c r="L67" i="1"/>
  <c r="K67" i="1"/>
  <c r="J67" i="1"/>
  <c r="N67" i="1" s="1"/>
  <c r="AO66" i="1"/>
  <c r="AH66" i="1"/>
  <c r="AG66" i="1"/>
  <c r="AB66" i="1"/>
  <c r="AP66" i="1" s="1"/>
  <c r="AA66" i="1"/>
  <c r="L66" i="1"/>
  <c r="K66" i="1"/>
  <c r="J66" i="1"/>
  <c r="N66" i="1" s="1"/>
  <c r="AO65" i="1"/>
  <c r="AH65" i="1"/>
  <c r="AG65" i="1"/>
  <c r="AB65" i="1"/>
  <c r="AP65" i="1" s="1"/>
  <c r="AA65" i="1"/>
  <c r="L65" i="1"/>
  <c r="K65" i="1"/>
  <c r="J65" i="1"/>
  <c r="N65" i="1" s="1"/>
  <c r="AP64" i="1"/>
  <c r="AO64" i="1"/>
  <c r="AH64" i="1"/>
  <c r="AG64" i="1"/>
  <c r="AB64" i="1"/>
  <c r="AA64" i="1"/>
  <c r="L64" i="1"/>
  <c r="K64" i="1"/>
  <c r="J64" i="1"/>
  <c r="N64" i="1" s="1"/>
  <c r="AO63" i="1"/>
  <c r="AH63" i="1"/>
  <c r="AG63" i="1"/>
  <c r="AB63" i="1"/>
  <c r="AP63" i="1" s="1"/>
  <c r="AA63" i="1"/>
  <c r="L63" i="1"/>
  <c r="K63" i="1"/>
  <c r="J63" i="1"/>
  <c r="N63" i="1" s="1"/>
  <c r="AO62" i="1"/>
  <c r="AP62" i="1" s="1"/>
  <c r="AH62" i="1"/>
  <c r="AG62" i="1"/>
  <c r="AB62" i="1"/>
  <c r="AA62" i="1"/>
  <c r="L62" i="1"/>
  <c r="K62" i="1"/>
  <c r="J62" i="1"/>
  <c r="N62" i="1" s="1"/>
  <c r="AO61" i="1"/>
  <c r="AH61" i="1"/>
  <c r="AG61" i="1"/>
  <c r="AB61" i="1"/>
  <c r="AP61" i="1" s="1"/>
  <c r="AA61" i="1"/>
  <c r="L61" i="1"/>
  <c r="N61" i="1" s="1"/>
  <c r="K61" i="1"/>
  <c r="J61" i="1"/>
  <c r="AO60" i="1"/>
  <c r="AH60" i="1"/>
  <c r="AG60" i="1"/>
  <c r="AB60" i="1"/>
  <c r="AP60" i="1" s="1"/>
  <c r="AA60" i="1"/>
  <c r="L60" i="1"/>
  <c r="K60" i="1"/>
  <c r="N60" i="1" s="1"/>
  <c r="J60" i="1"/>
  <c r="AO59" i="1"/>
  <c r="AP59" i="1" s="1"/>
  <c r="AH59" i="1"/>
  <c r="AG59" i="1"/>
  <c r="AB59" i="1"/>
  <c r="AA59" i="1"/>
  <c r="L59" i="1"/>
  <c r="K59" i="1"/>
  <c r="J59" i="1"/>
  <c r="N59" i="1" s="1"/>
  <c r="AO58" i="1"/>
  <c r="AH58" i="1"/>
  <c r="AG58" i="1"/>
  <c r="AB58" i="1"/>
  <c r="AP58" i="1" s="1"/>
  <c r="AA58" i="1"/>
  <c r="L58" i="1"/>
  <c r="K58" i="1"/>
  <c r="J58" i="1"/>
  <c r="N58" i="1" s="1"/>
  <c r="AO57" i="1"/>
  <c r="AP57" i="1" s="1"/>
  <c r="AH57" i="1"/>
  <c r="AG57" i="1"/>
  <c r="AB57" i="1"/>
  <c r="AA57" i="1"/>
  <c r="L57" i="1"/>
  <c r="K57" i="1"/>
  <c r="J57" i="1"/>
  <c r="N57" i="1" s="1"/>
  <c r="AP56" i="1"/>
  <c r="AO56" i="1"/>
  <c r="AH56" i="1"/>
  <c r="AG56" i="1"/>
  <c r="AB56" i="1"/>
  <c r="AA56" i="1"/>
  <c r="L56" i="1"/>
  <c r="K56" i="1"/>
  <c r="J56" i="1"/>
  <c r="N56" i="1" s="1"/>
  <c r="AO55" i="1"/>
  <c r="AH55" i="1"/>
  <c r="AG55" i="1"/>
  <c r="AB55" i="1"/>
  <c r="AP55" i="1" s="1"/>
  <c r="AA55" i="1"/>
  <c r="L55" i="1"/>
  <c r="K55" i="1"/>
  <c r="J55" i="1"/>
  <c r="N55" i="1" s="1"/>
  <c r="AO54" i="1"/>
  <c r="AP54" i="1" s="1"/>
  <c r="AH54" i="1"/>
  <c r="AG54" i="1"/>
  <c r="AB54" i="1"/>
  <c r="AA54" i="1"/>
  <c r="L54" i="1"/>
  <c r="K54" i="1"/>
  <c r="J54" i="1"/>
  <c r="N54" i="1" s="1"/>
  <c r="AO53" i="1"/>
  <c r="AH53" i="1"/>
  <c r="AG53" i="1"/>
  <c r="AB53" i="1"/>
  <c r="AP53" i="1" s="1"/>
  <c r="AA53" i="1"/>
  <c r="L53" i="1"/>
  <c r="N53" i="1" s="1"/>
  <c r="K53" i="1"/>
  <c r="J53" i="1"/>
  <c r="AO52" i="1"/>
  <c r="AH52" i="1"/>
  <c r="AG52" i="1"/>
  <c r="AB52" i="1"/>
  <c r="AP52" i="1" s="1"/>
  <c r="AA52" i="1"/>
  <c r="L52" i="1"/>
  <c r="K52" i="1"/>
  <c r="N52" i="1" s="1"/>
  <c r="J52" i="1"/>
  <c r="AO51" i="1"/>
  <c r="AP51" i="1" s="1"/>
  <c r="AH51" i="1"/>
  <c r="AG51" i="1"/>
  <c r="AB51" i="1"/>
  <c r="AA51" i="1"/>
  <c r="L51" i="1"/>
  <c r="K51" i="1"/>
  <c r="J51" i="1"/>
  <c r="N51" i="1" s="1"/>
  <c r="AO50" i="1"/>
  <c r="AH50" i="1"/>
  <c r="AG50" i="1"/>
  <c r="AB50" i="1"/>
  <c r="AP50" i="1" s="1"/>
  <c r="AA50" i="1"/>
  <c r="L50" i="1"/>
  <c r="K50" i="1"/>
  <c r="J50" i="1"/>
  <c r="N50" i="1" s="1"/>
  <c r="AO49" i="1"/>
  <c r="AH49" i="1"/>
  <c r="AG49" i="1"/>
  <c r="AB49" i="1"/>
  <c r="AP49" i="1" s="1"/>
  <c r="AA49" i="1"/>
  <c r="L49" i="1"/>
  <c r="K49" i="1"/>
  <c r="J49" i="1"/>
  <c r="N49" i="1" s="1"/>
  <c r="AP48" i="1"/>
  <c r="AO48" i="1"/>
  <c r="AH48" i="1"/>
  <c r="AG48" i="1"/>
  <c r="AB48" i="1"/>
  <c r="AA48" i="1"/>
  <c r="L48" i="1"/>
  <c r="K48" i="1"/>
  <c r="J48" i="1"/>
  <c r="N48" i="1" s="1"/>
  <c r="AO47" i="1"/>
  <c r="AH47" i="1"/>
  <c r="AG47" i="1"/>
  <c r="AB47" i="1"/>
  <c r="AP47" i="1" s="1"/>
  <c r="AA47" i="1"/>
  <c r="L47" i="1"/>
  <c r="K47" i="1"/>
  <c r="J47" i="1"/>
  <c r="N47" i="1" s="1"/>
  <c r="AO46" i="1"/>
  <c r="AP46" i="1" s="1"/>
  <c r="AH46" i="1"/>
  <c r="AG46" i="1"/>
  <c r="AB46" i="1"/>
  <c r="AA46" i="1"/>
  <c r="L46" i="1"/>
  <c r="K46" i="1"/>
  <c r="J46" i="1"/>
  <c r="N46" i="1" s="1"/>
  <c r="AO45" i="1"/>
  <c r="AH45" i="1"/>
  <c r="AG45" i="1"/>
  <c r="AB45" i="1"/>
  <c r="AP45" i="1" s="1"/>
  <c r="AA45" i="1"/>
  <c r="L45" i="1"/>
  <c r="N45" i="1" s="1"/>
  <c r="K45" i="1"/>
  <c r="J45" i="1"/>
  <c r="AO44" i="1"/>
  <c r="AH44" i="1"/>
  <c r="AG44" i="1"/>
  <c r="AB44" i="1"/>
  <c r="AP44" i="1" s="1"/>
  <c r="AA44" i="1"/>
  <c r="L44" i="1"/>
  <c r="K44" i="1"/>
  <c r="N44" i="1" s="1"/>
  <c r="J44" i="1"/>
  <c r="AO43" i="1"/>
  <c r="AP43" i="1" s="1"/>
  <c r="AH43" i="1"/>
  <c r="AG43" i="1"/>
  <c r="AB43" i="1"/>
  <c r="AA43" i="1"/>
  <c r="L43" i="1"/>
  <c r="K43" i="1"/>
  <c r="J43" i="1"/>
  <c r="N43" i="1" s="1"/>
  <c r="AO42" i="1"/>
  <c r="AH42" i="1"/>
  <c r="AG42" i="1"/>
  <c r="AB42" i="1"/>
  <c r="AP42" i="1" s="1"/>
  <c r="AA42" i="1"/>
  <c r="L42" i="1"/>
  <c r="K42" i="1"/>
  <c r="J42" i="1"/>
  <c r="N42" i="1" s="1"/>
  <c r="AO41" i="1"/>
  <c r="AH41" i="1"/>
  <c r="AG41" i="1"/>
  <c r="AB41" i="1"/>
  <c r="AP41" i="1" s="1"/>
  <c r="AA41" i="1"/>
  <c r="L41" i="1"/>
  <c r="K41" i="1"/>
  <c r="J41" i="1"/>
  <c r="N41" i="1" s="1"/>
  <c r="AP40" i="1"/>
  <c r="AO40" i="1"/>
  <c r="AH40" i="1"/>
  <c r="AG40" i="1"/>
  <c r="AB40" i="1"/>
  <c r="AA40" i="1"/>
  <c r="L40" i="1"/>
  <c r="K40" i="1"/>
  <c r="J40" i="1"/>
  <c r="N40" i="1" s="1"/>
  <c r="AO39" i="1"/>
  <c r="AH39" i="1"/>
  <c r="AG39" i="1"/>
  <c r="AB39" i="1"/>
  <c r="AP39" i="1" s="1"/>
  <c r="AA39" i="1"/>
  <c r="L39" i="1"/>
  <c r="K39" i="1"/>
  <c r="J39" i="1"/>
  <c r="N39" i="1" s="1"/>
  <c r="AO38" i="1"/>
  <c r="AP38" i="1" s="1"/>
  <c r="AH38" i="1"/>
  <c r="AG38" i="1"/>
  <c r="AB38" i="1"/>
  <c r="AA38" i="1"/>
  <c r="L38" i="1"/>
  <c r="K38" i="1"/>
  <c r="J38" i="1"/>
  <c r="N38" i="1" s="1"/>
  <c r="AO37" i="1"/>
  <c r="AH37" i="1"/>
  <c r="AG37" i="1"/>
  <c r="AB37" i="1"/>
  <c r="AP37" i="1" s="1"/>
  <c r="AA37" i="1"/>
  <c r="L37" i="1"/>
  <c r="N37" i="1" s="1"/>
  <c r="K37" i="1"/>
  <c r="J37" i="1"/>
  <c r="AO36" i="1"/>
  <c r="AH36" i="1"/>
  <c r="AG36" i="1"/>
  <c r="AB36" i="1"/>
  <c r="AP36" i="1" s="1"/>
  <c r="AA36" i="1"/>
  <c r="L36" i="1"/>
  <c r="K36" i="1"/>
  <c r="J36" i="1"/>
  <c r="N36" i="1" s="1"/>
  <c r="AO35" i="1"/>
  <c r="AP35" i="1" s="1"/>
  <c r="AH35" i="1"/>
  <c r="AG35" i="1"/>
  <c r="AB35" i="1"/>
  <c r="AA35" i="1"/>
  <c r="L35" i="1"/>
  <c r="K35" i="1"/>
  <c r="J35" i="1"/>
  <c r="N35" i="1" s="1"/>
  <c r="AO34" i="1"/>
  <c r="AH34" i="1"/>
  <c r="AG34" i="1"/>
  <c r="AB34" i="1"/>
  <c r="AP34" i="1" s="1"/>
  <c r="AA34" i="1"/>
  <c r="L34" i="1"/>
  <c r="K34" i="1"/>
  <c r="J34" i="1"/>
  <c r="N34" i="1" s="1"/>
  <c r="AO33" i="1"/>
  <c r="AH33" i="1"/>
  <c r="AG33" i="1"/>
  <c r="AB33" i="1"/>
  <c r="AP33" i="1" s="1"/>
  <c r="AA33" i="1"/>
  <c r="L33" i="1"/>
  <c r="K33" i="1"/>
  <c r="J33" i="1"/>
  <c r="N33" i="1" s="1"/>
  <c r="AP32" i="1"/>
  <c r="AO32" i="1"/>
  <c r="AH32" i="1"/>
  <c r="AG32" i="1"/>
  <c r="AB32" i="1"/>
  <c r="AA32" i="1"/>
  <c r="L32" i="1"/>
  <c r="K32" i="1"/>
  <c r="J32" i="1"/>
  <c r="N32" i="1" s="1"/>
  <c r="AO31" i="1"/>
  <c r="AH31" i="1"/>
  <c r="AG31" i="1"/>
  <c r="AB31" i="1"/>
  <c r="AP31" i="1" s="1"/>
  <c r="AA31" i="1"/>
  <c r="L31" i="1"/>
  <c r="K31" i="1"/>
  <c r="J31" i="1"/>
  <c r="N31" i="1" s="1"/>
  <c r="AO30" i="1"/>
  <c r="AP30" i="1" s="1"/>
  <c r="AH30" i="1"/>
  <c r="AG30" i="1"/>
  <c r="AB30" i="1"/>
  <c r="AA30" i="1"/>
  <c r="L30" i="1"/>
  <c r="K30" i="1"/>
  <c r="J30" i="1"/>
  <c r="N30" i="1" s="1"/>
  <c r="AO29" i="1"/>
  <c r="AH29" i="1"/>
  <c r="AG29" i="1"/>
  <c r="AB29" i="1"/>
  <c r="AP29" i="1" s="1"/>
  <c r="AA29" i="1"/>
  <c r="L29" i="1"/>
  <c r="N29" i="1" s="1"/>
  <c r="K29" i="1"/>
  <c r="J29" i="1"/>
  <c r="AO28" i="1"/>
  <c r="AH28" i="1"/>
  <c r="AG28" i="1"/>
  <c r="AB28" i="1"/>
  <c r="AP28" i="1" s="1"/>
  <c r="AA28" i="1"/>
  <c r="L28" i="1"/>
  <c r="K28" i="1"/>
  <c r="J28" i="1"/>
  <c r="N28" i="1" s="1"/>
  <c r="AO27" i="1"/>
  <c r="AP27" i="1" s="1"/>
  <c r="AH27" i="1"/>
  <c r="AG27" i="1"/>
  <c r="AB27" i="1"/>
  <c r="AA27" i="1"/>
  <c r="L27" i="1"/>
  <c r="K27" i="1"/>
  <c r="J27" i="1"/>
  <c r="N27" i="1" s="1"/>
  <c r="AO26" i="1"/>
  <c r="AH26" i="1"/>
  <c r="AG26" i="1"/>
  <c r="AB26" i="1"/>
  <c r="AP26" i="1" s="1"/>
  <c r="AA26" i="1"/>
  <c r="L26" i="1"/>
  <c r="K26" i="1"/>
  <c r="J26" i="1"/>
  <c r="N26" i="1" s="1"/>
  <c r="AO25" i="1"/>
  <c r="AH25" i="1"/>
  <c r="AG25" i="1"/>
  <c r="AB25" i="1"/>
  <c r="AP25" i="1" s="1"/>
  <c r="AA25" i="1"/>
  <c r="L25" i="1"/>
  <c r="K25" i="1"/>
  <c r="J25" i="1"/>
  <c r="N25" i="1" s="1"/>
  <c r="AP24" i="1"/>
  <c r="AO24" i="1"/>
  <c r="AH24" i="1"/>
  <c r="AG24" i="1"/>
  <c r="AB24" i="1"/>
  <c r="AA24" i="1"/>
  <c r="L24" i="1"/>
  <c r="K24" i="1"/>
  <c r="J24" i="1"/>
  <c r="N24" i="1" s="1"/>
  <c r="AO23" i="1"/>
  <c r="AH23" i="1"/>
  <c r="AG23" i="1"/>
  <c r="AB23" i="1"/>
  <c r="AP23" i="1" s="1"/>
  <c r="AA23" i="1"/>
  <c r="L23" i="1"/>
  <c r="K23" i="1"/>
  <c r="J23" i="1"/>
  <c r="N23" i="1" s="1"/>
  <c r="AO22" i="1"/>
  <c r="AP22" i="1" s="1"/>
  <c r="AH22" i="1"/>
  <c r="AG22" i="1"/>
  <c r="AB22" i="1"/>
  <c r="AA22" i="1"/>
  <c r="L22" i="1"/>
  <c r="K22" i="1"/>
  <c r="J22" i="1"/>
  <c r="N22" i="1" s="1"/>
  <c r="AO21" i="1"/>
  <c r="AH21" i="1"/>
  <c r="AG21" i="1"/>
  <c r="AB21" i="1"/>
  <c r="AP21" i="1" s="1"/>
  <c r="AA21" i="1"/>
  <c r="L21" i="1"/>
  <c r="N21" i="1" s="1"/>
  <c r="K21" i="1"/>
  <c r="J21" i="1"/>
  <c r="AO20" i="1"/>
  <c r="AH20" i="1"/>
  <c r="AG20" i="1"/>
  <c r="AB20" i="1"/>
  <c r="AP20" i="1" s="1"/>
  <c r="AA20" i="1"/>
  <c r="L20" i="1"/>
  <c r="K20" i="1"/>
  <c r="J20" i="1"/>
  <c r="N20" i="1" s="1"/>
  <c r="AO19" i="1"/>
  <c r="AP19" i="1" s="1"/>
  <c r="AH19" i="1"/>
  <c r="AG19" i="1"/>
  <c r="AB19" i="1"/>
  <c r="AA19" i="1"/>
  <c r="L19" i="1"/>
  <c r="K19" i="1"/>
  <c r="J19" i="1"/>
  <c r="N19" i="1" s="1"/>
  <c r="AO18" i="1"/>
  <c r="AH18" i="1"/>
  <c r="AG18" i="1"/>
  <c r="AB18" i="1"/>
  <c r="AP18" i="1" s="1"/>
  <c r="AA18" i="1"/>
  <c r="L18" i="1"/>
  <c r="K18" i="1"/>
  <c r="J18" i="1"/>
  <c r="N18" i="1" s="1"/>
  <c r="AO17" i="1"/>
  <c r="AH17" i="1"/>
  <c r="AG17" i="1"/>
  <c r="AB17" i="1"/>
  <c r="AP17" i="1" s="1"/>
  <c r="AA17" i="1"/>
  <c r="L17" i="1"/>
  <c r="K17" i="1"/>
  <c r="J17" i="1"/>
  <c r="N17" i="1" s="1"/>
  <c r="AP16" i="1"/>
  <c r="AO16" i="1"/>
  <c r="AH16" i="1"/>
  <c r="AG16" i="1"/>
  <c r="AB16" i="1"/>
  <c r="AA16" i="1"/>
  <c r="L16" i="1"/>
  <c r="K16" i="1"/>
  <c r="J16" i="1"/>
  <c r="N16" i="1" s="1"/>
  <c r="AO15" i="1"/>
  <c r="AH15" i="1"/>
  <c r="AG15" i="1"/>
  <c r="AB15" i="1"/>
  <c r="AP15" i="1" s="1"/>
  <c r="AA15" i="1"/>
  <c r="L15" i="1"/>
  <c r="K15" i="1"/>
  <c r="J15" i="1"/>
  <c r="N15" i="1" s="1"/>
  <c r="AO14" i="1"/>
  <c r="AP14" i="1" s="1"/>
  <c r="AH14" i="1"/>
  <c r="AG14" i="1"/>
  <c r="AB14" i="1"/>
  <c r="AA14" i="1"/>
  <c r="L14" i="1"/>
  <c r="K14" i="1"/>
  <c r="J14" i="1"/>
  <c r="N14" i="1" s="1"/>
  <c r="AO13" i="1"/>
  <c r="AH13" i="1"/>
  <c r="AG13" i="1"/>
  <c r="AB13" i="1"/>
  <c r="AP13" i="1" s="1"/>
  <c r="AA13" i="1"/>
  <c r="L13" i="1"/>
  <c r="N13" i="1" s="1"/>
  <c r="K13" i="1"/>
  <c r="J13" i="1"/>
  <c r="AO12" i="1"/>
  <c r="AH12" i="1"/>
  <c r="AG12" i="1"/>
  <c r="AB12" i="1"/>
  <c r="AP12" i="1" s="1"/>
  <c r="AA12" i="1"/>
  <c r="L12" i="1"/>
  <c r="K12" i="1"/>
  <c r="J12" i="1"/>
  <c r="N12" i="1" s="1"/>
  <c r="AO11" i="1"/>
  <c r="AP11" i="1" s="1"/>
  <c r="AH11" i="1"/>
  <c r="AG11" i="1"/>
  <c r="AB11" i="1"/>
  <c r="AA11" i="1"/>
  <c r="L11" i="1"/>
  <c r="K11" i="1"/>
  <c r="J11" i="1"/>
  <c r="N11" i="1" s="1"/>
  <c r="AO10" i="1"/>
  <c r="AH10" i="1"/>
  <c r="AG10" i="1"/>
  <c r="AB10" i="1"/>
  <c r="AP10" i="1" s="1"/>
  <c r="AA10" i="1"/>
  <c r="L10" i="1"/>
  <c r="K10" i="1"/>
  <c r="J10" i="1"/>
  <c r="N10" i="1" s="1"/>
  <c r="AO9" i="1"/>
  <c r="AH9" i="1"/>
  <c r="AG9" i="1"/>
  <c r="AB9" i="1"/>
  <c r="AP9" i="1" s="1"/>
  <c r="AA9" i="1"/>
  <c r="L9" i="1"/>
  <c r="K9" i="1"/>
  <c r="J9" i="1"/>
  <c r="N9" i="1" s="1"/>
  <c r="AP8" i="1"/>
  <c r="AO8" i="1"/>
  <c r="AH8" i="1"/>
  <c r="AG8" i="1"/>
  <c r="AB8" i="1"/>
  <c r="AA8" i="1"/>
  <c r="L8" i="1"/>
  <c r="K8" i="1"/>
  <c r="J8" i="1"/>
  <c r="N8" i="1" s="1"/>
  <c r="AO7" i="1"/>
  <c r="AH7" i="1"/>
  <c r="AG7" i="1"/>
  <c r="AB7" i="1"/>
  <c r="AP7" i="1" s="1"/>
  <c r="AA7" i="1"/>
  <c r="L7" i="1"/>
  <c r="K7" i="1"/>
  <c r="J7" i="1"/>
  <c r="N7" i="1" s="1"/>
  <c r="AO6" i="1"/>
  <c r="AP6" i="1" s="1"/>
  <c r="AH6" i="1"/>
  <c r="AG6" i="1"/>
  <c r="AB6" i="1"/>
  <c r="AA6" i="1"/>
  <c r="L6" i="1"/>
  <c r="K6" i="1"/>
  <c r="J6" i="1"/>
  <c r="N6" i="1" s="1"/>
  <c r="AO5" i="1"/>
  <c r="AH5" i="1"/>
  <c r="AG5" i="1"/>
  <c r="AB5" i="1"/>
  <c r="AP5" i="1" s="1"/>
  <c r="AA5" i="1"/>
  <c r="L5" i="1"/>
  <c r="N5" i="1" s="1"/>
  <c r="K5" i="1"/>
  <c r="J5" i="1"/>
  <c r="AO4" i="1"/>
  <c r="AH4" i="1"/>
  <c r="AG4" i="1"/>
  <c r="AB4" i="1"/>
  <c r="AP4" i="1" s="1"/>
  <c r="AA4" i="1"/>
  <c r="L4" i="1"/>
  <c r="K4" i="1"/>
  <c r="J4" i="1"/>
  <c r="N4" i="1" s="1"/>
  <c r="AO3" i="1"/>
  <c r="AP3" i="1" s="1"/>
  <c r="AH3" i="1"/>
  <c r="AG3" i="1"/>
  <c r="AB3" i="1"/>
  <c r="AA3" i="1"/>
  <c r="L3" i="1"/>
  <c r="K3" i="1"/>
  <c r="J3" i="1"/>
  <c r="N3" i="1" s="1"/>
  <c r="AO2" i="1"/>
  <c r="AH2" i="1"/>
  <c r="AG2" i="1"/>
  <c r="AB2" i="1"/>
  <c r="AP2" i="1" s="1"/>
  <c r="AA2" i="1"/>
  <c r="L2" i="1"/>
  <c r="K2" i="1"/>
  <c r="J2" i="1"/>
  <c r="N2" i="1" s="1"/>
</calcChain>
</file>

<file path=xl/sharedStrings.xml><?xml version="1.0" encoding="utf-8"?>
<sst xmlns="http://schemas.openxmlformats.org/spreadsheetml/2006/main" count="2605" uniqueCount="1086">
  <si>
    <t>Long ID</t>
  </si>
  <si>
    <t>Act</t>
  </si>
  <si>
    <t>Chapter</t>
  </si>
  <si>
    <t>Chapter Name</t>
  </si>
  <si>
    <t>Scene</t>
  </si>
  <si>
    <t>POV</t>
  </si>
  <si>
    <t>Word Ct</t>
  </si>
  <si>
    <t>Summary</t>
  </si>
  <si>
    <t>ID</t>
  </si>
  <si>
    <t>Action</t>
  </si>
  <si>
    <t>Drama</t>
  </si>
  <si>
    <t>Theme</t>
  </si>
  <si>
    <t>Magnitude</t>
  </si>
  <si>
    <t>Energy</t>
  </si>
  <si>
    <t>State ID</t>
  </si>
  <si>
    <t>State Name</t>
  </si>
  <si>
    <t>A Raw</t>
  </si>
  <si>
    <t>D Raw</t>
  </si>
  <si>
    <t>T Raw</t>
  </si>
  <si>
    <t>A 100</t>
  </si>
  <si>
    <t>D 100</t>
  </si>
  <si>
    <t>T 100</t>
  </si>
  <si>
    <t>A Tier</t>
  </si>
  <si>
    <t>D Tier</t>
  </si>
  <si>
    <t>T Tier</t>
  </si>
  <si>
    <t>V Label</t>
  </si>
  <si>
    <t>Premise Force 100</t>
  </si>
  <si>
    <t>Energy 100</t>
  </si>
  <si>
    <t>Source Pass</t>
  </si>
  <si>
    <t>Chapter ID</t>
  </si>
  <si>
    <t>Position</t>
  </si>
  <si>
    <t>Setting</t>
  </si>
  <si>
    <t>Heart</t>
  </si>
  <si>
    <t>Sensuality</t>
  </si>
  <si>
    <t>H Raw</t>
  </si>
  <si>
    <t>S Raw</t>
  </si>
  <si>
    <t>H 100</t>
  </si>
  <si>
    <t>S 100</t>
  </si>
  <si>
    <t>H Tier</t>
  </si>
  <si>
    <t>S Tier</t>
  </si>
  <si>
    <t>Connotative Energy 100</t>
  </si>
  <si>
    <t>Total Energy Lens</t>
  </si>
  <si>
    <t>Cumulative Premise Progression</t>
  </si>
  <si>
    <t>Text Span %</t>
  </si>
  <si>
    <t>Doc Name</t>
  </si>
  <si>
    <t>A01C01S01</t>
  </si>
  <si>
    <t>Strangers To Enemies 1</t>
  </si>
  <si>
    <t>Cody</t>
  </si>
  <si>
    <t>CODY celebrates his first home with his friend Miguel. After Miguel falls asleep, he drunkenly stumbles into the adjoining residence, but is mistaken for an intruder.</t>
  </si>
  <si>
    <t>1.1.1</t>
  </si>
  <si>
    <t>Tier 1</t>
  </si>
  <si>
    <t>Tier 2</t>
  </si>
  <si>
    <t>Transitional</t>
  </si>
  <si>
    <t>Paragate scene-by-scene pass</t>
  </si>
  <si>
    <t>A01C01</t>
  </si>
  <si>
    <t>Colorado | Evergreen Estates | Cody's House | 2026-04-24 | 22:00:00</t>
  </si>
  <si>
    <t>0.00–1.19</t>
  </si>
  <si>
    <t>PGC-0.1.1</t>
  </si>
  <si>
    <t>A01C01S02</t>
  </si>
  <si>
    <t>The two strangers exchange unpleasantries, CODY is assaulted, and he is kicked out into a strange world.</t>
  </si>
  <si>
    <t>1.1.2</t>
  </si>
  <si>
    <t>Tier 3</t>
  </si>
  <si>
    <t>Valenseia | Gaffesend | Katiya's House | 2026-04-24 | 22:20:00</t>
  </si>
  <si>
    <t>1.19–2.14</t>
  </si>
  <si>
    <t>PGC-0.1.2</t>
  </si>
  <si>
    <t>A01C01S03</t>
  </si>
  <si>
    <t>CODY encounters strangers passing by and mistakes them for cosplayers. They heal him in an inexplicable way, then he tries to return home.</t>
  </si>
  <si>
    <t>1.1.3</t>
  </si>
  <si>
    <t>Valenseia | Gaffesend | Guards' Quarter | 2026-04-25 | 22:40:00</t>
  </si>
  <si>
    <t>2.14–2.95</t>
  </si>
  <si>
    <t>PGC-0.1.3</t>
  </si>
  <si>
    <t>A01C01S04</t>
  </si>
  <si>
    <t>CODY stands at the threshold of the door, finding the psychotic cosplayer on the other side, captivated by the mystery of her.</t>
  </si>
  <si>
    <t>1.1.4</t>
  </si>
  <si>
    <t>Valenseia | Gaffesend | Guards' Quarter | 2026-04-25 | 23:15:00</t>
  </si>
  <si>
    <t>2.95–3.21</t>
  </si>
  <si>
    <t>PGC-0.1.4</t>
  </si>
  <si>
    <t>A01C02S01</t>
  </si>
  <si>
    <t>The Knight Before</t>
  </si>
  <si>
    <t>Katiya</t>
  </si>
  <si>
    <t>KATIYA struggles to relax and hates drinking, considering all the forces that brought her to this moment.</t>
  </si>
  <si>
    <t>1.2.1</t>
  </si>
  <si>
    <t>A01C02</t>
  </si>
  <si>
    <t>Valenseia | Gaffesend | Gaffe's End Tavern | 2026-04-23 | 14:30:00</t>
  </si>
  <si>
    <t>3.21–3.97</t>
  </si>
  <si>
    <t>PGK-1.2.1</t>
  </si>
  <si>
    <t>A01C02S02</t>
  </si>
  <si>
    <t>Aldrin convinces KATIYA and his trainees about the ease of the process, describing what they will be doing.</t>
  </si>
  <si>
    <t>1.2.2</t>
  </si>
  <si>
    <t>Valenseia | Gaffesend | Gaffe's End Tavern | 2026-04-23 | 15:00:00</t>
  </si>
  <si>
    <t>3.97–4.68</t>
  </si>
  <si>
    <t>PGK-1.2.2</t>
  </si>
  <si>
    <t>A01C02S03</t>
  </si>
  <si>
    <t>KATIYA stays the whole time, waiting for Jullian. The two of them head back to Katiya's new place to christen it.</t>
  </si>
  <si>
    <t>1.2.3</t>
  </si>
  <si>
    <t>Valenseia | Gaffesend | Gaffe's End Tavern | 2026-04-23 | 17:30:00</t>
  </si>
  <si>
    <t>4.68–5.41</t>
  </si>
  <si>
    <t>PGK-1.2.3</t>
  </si>
  <si>
    <t>A01C03S01</t>
  </si>
  <si>
    <t>The Day After</t>
  </si>
  <si>
    <t>An unfulfiling day at the office. Introduce CODY's dream and immediate colleagues</t>
  </si>
  <si>
    <t>1.3.1</t>
  </si>
  <si>
    <t>Anti-truth</t>
  </si>
  <si>
    <t>A01C03</t>
  </si>
  <si>
    <t>Colorado | Shaleborough | Navidson-Monroe Aerospace | Legacy Systems Annex | 2026-04-24 | 16:30:00</t>
  </si>
  <si>
    <t>5.41–6.15</t>
  </si>
  <si>
    <t>PGC-1.3.1</t>
  </si>
  <si>
    <t>A01C03S02</t>
  </si>
  <si>
    <t>CODY gets roasted by his boss for late submission of redlines. Moment with Kei expressing his dissatisfaction.</t>
  </si>
  <si>
    <t>1.3.2</t>
  </si>
  <si>
    <t>Colorado | Shaleborough | Navidson-Monroe Aerospace | Legacy Systems Annex | 2026-04-24 | 16:55:00</t>
  </si>
  <si>
    <t>6.15–7.27</t>
  </si>
  <si>
    <t>PGC-1.3.2</t>
  </si>
  <si>
    <t>A01C03S03</t>
  </si>
  <si>
    <t>CODY returns home to unpack with family. Parents push his buttons. Miguel comes over to drink and hang out.</t>
  </si>
  <si>
    <t>1.3.3</t>
  </si>
  <si>
    <t>Colorado | Evergreen Estates | Cody's House | 2026-04-24 | 19:45:00</t>
  </si>
  <si>
    <t>7.27–8.13</t>
  </si>
  <si>
    <t>PGC-1.3.3</t>
  </si>
  <si>
    <t>A01C04S01</t>
  </si>
  <si>
    <t>Secondhand Cottage</t>
  </si>
  <si>
    <t>KATIYA has nightmares of the event that changed her life forever: the death of her family in the Siege of Hillfar.</t>
  </si>
  <si>
    <t>1.4.1</t>
  </si>
  <si>
    <t>A01C04</t>
  </si>
  <si>
    <t>Valenseia | Gaffesend | Katiya's House | 2026-04-24 | 03:00:00</t>
  </si>
  <si>
    <t>8.13–8.38</t>
  </si>
  <si>
    <t>PGK-1.4.1</t>
  </si>
  <si>
    <t>A01C04S02</t>
  </si>
  <si>
    <t>KATIYA prevents her own panic attack. Puts on clothes, begins day.</t>
  </si>
  <si>
    <t>1.4.2</t>
  </si>
  <si>
    <t>Valenseia | Gaffesend | Katiya's House | 2026-04-24 | 04:00:00</t>
  </si>
  <si>
    <t>8.38–9.28</t>
  </si>
  <si>
    <t>PGK-1.4.2</t>
  </si>
  <si>
    <t>A01C04S03</t>
  </si>
  <si>
    <t>KATIYA tries to make breakfast. Encounters Derry &amp; Carmen, tertiary characters that foreshadow Rayna in the story. Heads to Gaffe Royal Base with Bertram.</t>
  </si>
  <si>
    <t>1.4.3</t>
  </si>
  <si>
    <t>Valenseia | Gaffesend | Katiya's House | 2026-04-24 | 04:15:00</t>
  </si>
  <si>
    <t>9.28–10.07</t>
  </si>
  <si>
    <t>PGK-1.4.3</t>
  </si>
  <si>
    <t>A01C05S01</t>
  </si>
  <si>
    <t>Firsthand Home</t>
  </si>
  <si>
    <t>Miguel and CODY talk life while playing a shooter game. They decide to drink heavily on what Miguel brought over.</t>
  </si>
  <si>
    <t>1.5.1</t>
  </si>
  <si>
    <t>A01C05</t>
  </si>
  <si>
    <t>Colorado | Evergreen Estates | Cody's House | 2026-04-24 | 18:15:00</t>
  </si>
  <si>
    <t>10.07–11.01</t>
  </si>
  <si>
    <t>PGC-1.5.1</t>
  </si>
  <si>
    <t>A01C05S02</t>
  </si>
  <si>
    <t>Miguel and CODY get drunk and emotions rise. Miguel falls asleep, but Cody is still awake.</t>
  </si>
  <si>
    <t>1.5.2</t>
  </si>
  <si>
    <t>Colorado | Evergreen Estates | Cody's House | 2026-04-24 | 21:45:00</t>
  </si>
  <si>
    <t>11.01–11.95</t>
  </si>
  <si>
    <t>PGC-1.5.2</t>
  </si>
  <si>
    <t>A01C06S01</t>
  </si>
  <si>
    <t>Insurgency</t>
  </si>
  <si>
    <t>KATIYA has a slow first day, but it ends in panic when a beam of light is seen over the hills to the north.</t>
  </si>
  <si>
    <t>1.6.1</t>
  </si>
  <si>
    <t>A01C06</t>
  </si>
  <si>
    <t>Valenseia | Gaffesend | Southern Fields | 2026-04-24 | 20:15:00</t>
  </si>
  <si>
    <t>11.95–12.59</t>
  </si>
  <si>
    <t>PGK-1.6.1</t>
  </si>
  <si>
    <t>A01C06S02</t>
  </si>
  <si>
    <t>The town responds to the events of FIREBRAND. When prompted to go on a scouting mission, KATIYA is saved from a panic attack by Bertram.</t>
  </si>
  <si>
    <t>1.6.2</t>
  </si>
  <si>
    <t>Valenseia | Gaffesend | Gaffe Royal Base | 2026-04-24 | 20:35:00</t>
  </si>
  <si>
    <t>12.59–13.37</t>
  </si>
  <si>
    <t>PGK-1.6.2</t>
  </si>
  <si>
    <t>A01C06S03</t>
  </si>
  <si>
    <t>KATIYA comes down from her panic on the walk home. But she finds a stranger inside her home. She ambushes him.</t>
  </si>
  <si>
    <t>1.6.3</t>
  </si>
  <si>
    <t>Valenseia | Gaffesend | Guards' Quarter | 2026-04-24 | 21:15:00</t>
  </si>
  <si>
    <t>13.37–14.01</t>
  </si>
  <si>
    <t>PGK-1.6.3</t>
  </si>
  <si>
    <t>A01C07S01</t>
  </si>
  <si>
    <t>Exfiltration</t>
  </si>
  <si>
    <t>KATIYA experiences the events of the prologue, except through her eyes. Same exchanges.</t>
  </si>
  <si>
    <t>1.7.1</t>
  </si>
  <si>
    <t>A01C07</t>
  </si>
  <si>
    <t>Valenseia | Gaffesend | Katiya's House | 2026-04-25 | 22:20:00</t>
  </si>
  <si>
    <t>14.01–14.79</t>
  </si>
  <si>
    <t>PGK-1.7.1</t>
  </si>
  <si>
    <t>A01C07S02</t>
  </si>
  <si>
    <t>After she passes through the threshold, KATIYA experiences the horrors of the modern world. She ends up on the other side of the door, mirroring the introduction.</t>
  </si>
  <si>
    <t>1.7.2</t>
  </si>
  <si>
    <t>Valenseia | Gaffesend | Katiya's House | 2026-04-25 | 22:40:00</t>
  </si>
  <si>
    <t>14.79–15.95</t>
  </si>
  <si>
    <t>PGK-1.7.2</t>
  </si>
  <si>
    <t>A01C08S01</t>
  </si>
  <si>
    <t>Strangers To Enemies 2</t>
  </si>
  <si>
    <t>KATIYA fights Cody for a second time, but is overpowered. She assumes that Cody is an Auvryan assassin.</t>
  </si>
  <si>
    <t>1.8.1</t>
  </si>
  <si>
    <t>A01C08</t>
  </si>
  <si>
    <t>Valenseia | Gaffesend | Katiya's House | 2026-04-25 | 23:15:00</t>
  </si>
  <si>
    <t>15.95–16.42</t>
  </si>
  <si>
    <t>PGK-1.8.1</t>
  </si>
  <si>
    <t>A01C08S02</t>
  </si>
  <si>
    <t>The two fight one last time, ending in even fruther misunderstanding. Cody is driven back through the door by KATIYA.</t>
  </si>
  <si>
    <t>1.8.2</t>
  </si>
  <si>
    <t>Valenseia | Gaffesend | Katiya's House | 2026-04-26 | 00:10:00</t>
  </si>
  <si>
    <t>16.42–17.25</t>
  </si>
  <si>
    <t>PGK-1.8.2</t>
  </si>
  <si>
    <t>A01C09S01</t>
  </si>
  <si>
    <t>Surprise Approach</t>
  </si>
  <si>
    <t>CODY has an uneventful day after the fight, thinking it is all a dream when his hand is unhurt. He barricades the door, then the next day, nearly shows up late to work.</t>
  </si>
  <si>
    <t>1.9.1</t>
  </si>
  <si>
    <t>A01C09</t>
  </si>
  <si>
    <t>Colorado | Evergreen Estates | Cody's House | 2026-04-26 | 08:52:00</t>
  </si>
  <si>
    <t>17.25–18.32</t>
  </si>
  <si>
    <t>PGC-1.9.1</t>
  </si>
  <si>
    <t>A01C09S02</t>
  </si>
  <si>
    <t>CODY is introduced to his foil, REED, that has all the energy Cody lost.</t>
  </si>
  <si>
    <t>1.9.2</t>
  </si>
  <si>
    <t>Colorado | Shaleborough | Navidson-Monroe Aerospace | Legacy Systems Annex | 2026-04-26 | 09:01:12</t>
  </si>
  <si>
    <t>18.32–19.06</t>
  </si>
  <si>
    <t>PGC-1.9.2</t>
  </si>
  <si>
    <t>A01C10S01</t>
  </si>
  <si>
    <t>Strategic Retreat</t>
  </si>
  <si>
    <t>KATIYA deals with the immediate aftermath, trying not to panic. She cleans her new place to calm down, puzzling over the strange device that Cody left behind.</t>
  </si>
  <si>
    <t>1.10.1</t>
  </si>
  <si>
    <t>A01C10</t>
  </si>
  <si>
    <t>Valenseia | Gaffesend | Katiya's House | 2026-04-25 | 01:15:00</t>
  </si>
  <si>
    <t>19.06–19.88</t>
  </si>
  <si>
    <t>PGK-1.10.1</t>
  </si>
  <si>
    <t>A01C10S02</t>
  </si>
  <si>
    <t>TIME SKIP to a whole month later, when KATIYA is completing another uneventful quest with Naya. They head down to welcome royals into the city, but Katiya is the first to notice something is off.</t>
  </si>
  <si>
    <t>1.10.2</t>
  </si>
  <si>
    <t>Valenseia | Gaffesend | Southern Fields | 2026-05-22 | 19:45:00</t>
  </si>
  <si>
    <t>19.88–20.60</t>
  </si>
  <si>
    <t>PGK-1.10.2</t>
  </si>
  <si>
    <t>A01C10S03</t>
  </si>
  <si>
    <t>KATIYA's hesitation almost gets her and the royals killed, but is enough to save them. The mother berates her. She runs from the scene to save her best friend Bertram.</t>
  </si>
  <si>
    <t>1.10.3</t>
  </si>
  <si>
    <t>Valenseia | Gaffesend | Market Street | 2026-05-22 | 20:30:00</t>
  </si>
  <si>
    <t>20.60–21.36</t>
  </si>
  <si>
    <t>PGK-1.10.3</t>
  </si>
  <si>
    <t>A01C11S01</t>
  </si>
  <si>
    <t>Ennui and Excoriation</t>
  </si>
  <si>
    <t>A month later, CODY is bored a t work: overhearing Reed receive praise for things he never was praised for. Nav introduces a new project to them.</t>
  </si>
  <si>
    <t>1.11.1</t>
  </si>
  <si>
    <t>A01C11</t>
  </si>
  <si>
    <t>Colorado | Shaleborough | Navidson-Monroe Aerospace | Legacy Systems Annex | 2026-05-22 | 12:30:00</t>
  </si>
  <si>
    <t>21.36–22.28</t>
  </si>
  <si>
    <t>PGC-1.11.1</t>
  </si>
  <si>
    <t>A01C11S02</t>
  </si>
  <si>
    <t>Bottleneck introducing CODY's colleagues, Reed and Kei, and Cody's reluctance to action due to untreated depression.</t>
  </si>
  <si>
    <t>1.11.2</t>
  </si>
  <si>
    <t>Colorado | Shaleborough | Navidson-Monroe Aerospace | Legacy Systems Annex | 2026-05-22 | 12:50:00</t>
  </si>
  <si>
    <t>22.28–22.78</t>
  </si>
  <si>
    <t>PGC-1.11.2</t>
  </si>
  <si>
    <t>A01C11S03</t>
  </si>
  <si>
    <t>CODY returns home. Falls asleep in the dark of his house though his colleagues, especially Kei, invite him out. But he hears pleading on the other side of the door.</t>
  </si>
  <si>
    <t>1.11.3</t>
  </si>
  <si>
    <t>Colorado | Evergreen Estates | Cody's House | Legacy Systems Annex | 2026-05-22 | 17:45:00</t>
  </si>
  <si>
    <t>22.78–22.91</t>
  </si>
  <si>
    <t>PGC-1.11.3</t>
  </si>
  <si>
    <t>A01C12S01</t>
  </si>
  <si>
    <t>Anxiety and Avoidance</t>
  </si>
  <si>
    <t>KATIYA, Ryder, and Paxton rush to save Bertram, who is on the edge of death. They carry him to the base.</t>
  </si>
  <si>
    <t>1.12.1</t>
  </si>
  <si>
    <t>A01C12</t>
  </si>
  <si>
    <t>Valenseia | Gaffesend | Guards' Quarter | 2026-05-22 | 20:35:00</t>
  </si>
  <si>
    <t>22.91–23.42</t>
  </si>
  <si>
    <t>PGK-1.12.1</t>
  </si>
  <si>
    <t>A01C12S02</t>
  </si>
  <si>
    <t>KATIYA is blamed for everything, shut out by everyone, without anyone to lean on as she nears collapse. The only person left to plead for help is Cody.</t>
  </si>
  <si>
    <t>1.12.2</t>
  </si>
  <si>
    <t>Valenseia | Gaffesend | Gaffe Royal Base | 2026-05-22 | 21:15:00</t>
  </si>
  <si>
    <t>23.42–24.02</t>
  </si>
  <si>
    <t>PGK-1.12.2</t>
  </si>
  <si>
    <t>A02C13S01</t>
  </si>
  <si>
    <t>The Sleeping Knight</t>
  </si>
  <si>
    <t>Katiya crosses over in a panic attack. Cody stays with her until she falls asleep. Cody stays up in garage working on drone.</t>
  </si>
  <si>
    <t>2.13.1</t>
  </si>
  <si>
    <t>A02C13</t>
  </si>
  <si>
    <t>Colorado | Evergreen Estates | Cody's House | 2026-05-23 | 02:23:00</t>
  </si>
  <si>
    <t>24.02–25.22</t>
  </si>
  <si>
    <t>PGC-2.13.1</t>
  </si>
  <si>
    <t>A02C13S02</t>
  </si>
  <si>
    <t>Next morning, awkward breakfast. She's embarrassed. He's weirdly calm. KATIYA and Cody agree: "No interfering too much." They both clearly plan to ignore that rule. Cody offers her a recovery day.</t>
  </si>
  <si>
    <t>2.13.2</t>
  </si>
  <si>
    <t>Colorado | Evergreen Estates | Cody's House | 2026-05-23 | 07:15:00</t>
  </si>
  <si>
    <t>25.22–26.08</t>
  </si>
  <si>
    <t>PGK-2.13.2</t>
  </si>
  <si>
    <t>A02C14S01</t>
  </si>
  <si>
    <t>Luddite By Chance</t>
  </si>
  <si>
    <t>CODY gives Katiya a lazy day, gradually introduced to things. Set ground rules for roommateship.</t>
  </si>
  <si>
    <t>2.14.1</t>
  </si>
  <si>
    <t>A02C14</t>
  </si>
  <si>
    <t>Colorado | Evergreen Estates | Cody's House | 2026-05-23 | 08:15:00</t>
  </si>
  <si>
    <t>26.08–26.83</t>
  </si>
  <si>
    <t>PGC-2.14.1</t>
  </si>
  <si>
    <t>A02C14S02</t>
  </si>
  <si>
    <t>First car ride with Cody: KATIYA is terrified of speed and they nearly crash.</t>
  </si>
  <si>
    <t>2.14.2</t>
  </si>
  <si>
    <t>Colorado | Evergreen Estates | Cody's House | 2026-05-23 | 08:23:00</t>
  </si>
  <si>
    <t>26.83–27.87</t>
  </si>
  <si>
    <t>PGK-2.14.2</t>
  </si>
  <si>
    <t>A02C14S03</t>
  </si>
  <si>
    <t>KATIYA and Cody go to Costco to run errands. Katiya is overwhelmed by Cody's future world.</t>
  </si>
  <si>
    <t>2.14.3</t>
  </si>
  <si>
    <t>Colorado | Hearthland Ridge | Costco #8137 | 2026-05-23 | 08:58:00</t>
  </si>
  <si>
    <t>27.87–28.63</t>
  </si>
  <si>
    <t>PGK-2.14.3</t>
  </si>
  <si>
    <t>A02C15S01</t>
  </si>
  <si>
    <t>Technophile By Choice</t>
  </si>
  <si>
    <t>CODY goes on one of Katiya's daily morning runs around Gaffesend.</t>
  </si>
  <si>
    <t>2.15.1</t>
  </si>
  <si>
    <t>A02C15</t>
  </si>
  <si>
    <t>Valenseia | Gaffesend | Katiya's House | 2026-05-24 | 04:56:37</t>
  </si>
  <si>
    <t>28.63–29.20</t>
  </si>
  <si>
    <t>PGC-2.15.1</t>
  </si>
  <si>
    <t>A02C15S02</t>
  </si>
  <si>
    <t>KATIYA shows Cody around the town. Alias as royal inventor. Encounter Jullian, share awkward interaction. Cody intervenes to help Katiya.</t>
  </si>
  <si>
    <t>2.15.2</t>
  </si>
  <si>
    <t>Valenseia | Gaffesend | Lake Garrison | 2026-05-24 | 04:59:00</t>
  </si>
  <si>
    <t>29.20–30.40</t>
  </si>
  <si>
    <t>PGK-2.15.2</t>
  </si>
  <si>
    <t>A02C15S03</t>
  </si>
  <si>
    <t>KATIYA introduces Cody to her friends at the tavern. He gets along well.</t>
  </si>
  <si>
    <t>2.15.3</t>
  </si>
  <si>
    <t>Valenseia | Gaffesend | Gaffe's End Tavern | 2026-05-24 | 10:12:00</t>
  </si>
  <si>
    <t>30.40–31.20</t>
  </si>
  <si>
    <t>PGK-2.15.3</t>
  </si>
  <si>
    <t>A02C16S01</t>
  </si>
  <si>
    <t>Back To Business</t>
  </si>
  <si>
    <t>CODY gets caught up in memories of excitement, showing an unfamiliar side. Cody's father, Alan, takes his son to lunch.</t>
  </si>
  <si>
    <t>2.16.1</t>
  </si>
  <si>
    <t>A02C16</t>
  </si>
  <si>
    <t>Colorado | Shaleborough | Navidson-Monroe Aerospace | Legacy Systems Annex | 2026-05-25 | 11:26:00</t>
  </si>
  <si>
    <t>31.20–32.14</t>
  </si>
  <si>
    <t>PGC-2.16.1</t>
  </si>
  <si>
    <t>A02C16S02</t>
  </si>
  <si>
    <t>CODY and Alan have some father-son time, and reminisce on the past, discussing Jackson.</t>
  </si>
  <si>
    <t>2.16.2</t>
  </si>
  <si>
    <t>Colorado | Shaleborough | Monroe Canyon Rd | 2026-05-25 | 11:43:00</t>
  </si>
  <si>
    <t>32.14–32.91</t>
  </si>
  <si>
    <t>PGC-2.16.2</t>
  </si>
  <si>
    <t>A02C16S03</t>
  </si>
  <si>
    <t>CODY finishes out the day and returns home, hoping to find Katiya's door open, but in a tsundere way.</t>
  </si>
  <si>
    <t>2.16.3</t>
  </si>
  <si>
    <t>Colorado | Shaleborough | Navidson-Monroe Aerospace | Legacy Systems Annex | 2026-05-25 | 16:12:00</t>
  </si>
  <si>
    <t>32.91–33.19</t>
  </si>
  <si>
    <t>PGC-2.16.3</t>
  </si>
  <si>
    <t>A02C17S01</t>
  </si>
  <si>
    <t>Onward To Chaos</t>
  </si>
  <si>
    <t>KATIYA sneaks into the base to visit Bertram at the hospital. Asks her to go with him to Hillfar to make peace with their past: she reluctantly agrees.</t>
  </si>
  <si>
    <t>2.17.1</t>
  </si>
  <si>
    <t>A02C17</t>
  </si>
  <si>
    <t>Valenseia | Gaffesend | Katiya's House | 2026-05-26 | 06:23:00</t>
  </si>
  <si>
    <t>33.19–34.15</t>
  </si>
  <si>
    <t>PGK-2.17.1</t>
  </si>
  <si>
    <t>A02C17S02</t>
  </si>
  <si>
    <t>KATIYA and Jullian are on guard duty at Gaffesend's central market. A thief steals something, and Katiya jumps to action before her body can react.</t>
  </si>
  <si>
    <t>2.17.2</t>
  </si>
  <si>
    <t>Valenseia | Gaffesend | Market Street | 2026-05-26 | 08:23:00</t>
  </si>
  <si>
    <t>34.15–34.85</t>
  </si>
  <si>
    <t>PGK-2.17.2</t>
  </si>
  <si>
    <t>A02C17S03</t>
  </si>
  <si>
    <t>Chase scene of KATIYA chasing the stranger, revealed to be a half-blooded Ahkvasan called Rayna that was the last resident of her home.</t>
  </si>
  <si>
    <t>2.17.3</t>
  </si>
  <si>
    <t>Valenseia | Gaffesend | Market Street | 2026-05-26 | 08:29:00</t>
  </si>
  <si>
    <t>34.85–36.11</t>
  </si>
  <si>
    <t>PGK-2.17.3</t>
  </si>
  <si>
    <t>A02C17S04</t>
  </si>
  <si>
    <t>Jullian downplays KATIYA's unlikely act of courage in jumping the gap to catch the assailant. Cody leaves her a treat.</t>
  </si>
  <si>
    <t>2.17.4</t>
  </si>
  <si>
    <t>Valenseia | Gaffesend | The Old Castle | 2026-05-26 | 09:26:00</t>
  </si>
  <si>
    <t>36.11–36.43</t>
  </si>
  <si>
    <t>PGK-2.17.4</t>
  </si>
  <si>
    <t>A02C18S01</t>
  </si>
  <si>
    <t>Civillian Combat</t>
  </si>
  <si>
    <t>CODY is volunteered for a civillian training class. Katiya watches from the sidelines. She pokes fun at him, and when he tries to fight, makes a humiliating mistake that gets Aldrin's attention.</t>
  </si>
  <si>
    <t>2.18.1</t>
  </si>
  <si>
    <t>A02C18</t>
  </si>
  <si>
    <t>Valenseia | Gaffesend | Gaffe Royal Base | 2026-06-27 | 08:27:00</t>
  </si>
  <si>
    <t>36.43–37.64</t>
  </si>
  <si>
    <t>PGC-2.18.1</t>
  </si>
  <si>
    <t>A02C18S02</t>
  </si>
  <si>
    <t>CODY shows his depth of character in a challenge course with ale at the end, valuing friendship over victory.</t>
  </si>
  <si>
    <t>2.18.2</t>
  </si>
  <si>
    <t>Valenseia | Gaffesend | Gaffe Royal Base | 2026-06-27 | 11:02:00</t>
  </si>
  <si>
    <t>37.64–38.94</t>
  </si>
  <si>
    <t>PGC-2.18.2</t>
  </si>
  <si>
    <t>A02C19S01</t>
  </si>
  <si>
    <t>Warrior Business</t>
  </si>
  <si>
    <t>Cody takes KATIYA into work for an open house. Meets Reed and encounters Kei again.</t>
  </si>
  <si>
    <t>2.19.1</t>
  </si>
  <si>
    <t>A02C19</t>
  </si>
  <si>
    <t>Colorado | Evergreen Estates | Cody's House | 2026-06-28 | 09:23:00</t>
  </si>
  <si>
    <t>38.94–39.71</t>
  </si>
  <si>
    <t>PGK-2.19.1</t>
  </si>
  <si>
    <t>A02C19S02</t>
  </si>
  <si>
    <t>Cody enthusiastically explains things while KATIYA is baffled by science. Katiya meets Cody's parents, Alan and Kim, and Cody has an awkward exhange with Kei and his mother.</t>
  </si>
  <si>
    <t>2.19.2</t>
  </si>
  <si>
    <t>Colorado | Shaleborough | Navidson-Monroe Aerospace | Advanced Systems Building | 2026-06-28 | 10:20:00</t>
  </si>
  <si>
    <t>39.71–40.51</t>
  </si>
  <si>
    <t>PGK-2.19.2</t>
  </si>
  <si>
    <t>A02C19S03</t>
  </si>
  <si>
    <t>KATIYA and Cody continue walking around. They hide as a conversation happens between Reed and Kei regarding Cody not being present on the Wall of Future Talent.</t>
  </si>
  <si>
    <t>2.19.3</t>
  </si>
  <si>
    <t>Shaleborough | Navidson-Monroe Aerospace | Advanced Systems Building | 2026-06-28 | 12:03:00</t>
  </si>
  <si>
    <t>40.51–41.85</t>
  </si>
  <si>
    <t>PGK-2.19.3</t>
  </si>
  <si>
    <t>A02C20S01</t>
  </si>
  <si>
    <t>Domestic Relations</t>
  </si>
  <si>
    <t>Katiya tells CODY that she set up a date for him and Kei. They head home.</t>
  </si>
  <si>
    <t>2.20.1</t>
  </si>
  <si>
    <t>A02C20</t>
  </si>
  <si>
    <t>Colorado | Shaleborough | Navidson-Monroe Aerospace | 2026-06-28 | 13:57:00</t>
  </si>
  <si>
    <t>41.85–42.13</t>
  </si>
  <si>
    <t>PGC-2.20.1</t>
  </si>
  <si>
    <t>A02C20S02</t>
  </si>
  <si>
    <t>CODY and Kei go on a date. They try to continue where they left off, but things feel different.</t>
  </si>
  <si>
    <t>2.20.2</t>
  </si>
  <si>
    <t>Colorado | Hearthland Ridge | Mineral Station | 2026-06-29 | 11:04:00</t>
  </si>
  <si>
    <t>42.13–42.95</t>
  </si>
  <si>
    <t>PGC-2.20.2</t>
  </si>
  <si>
    <t>A02C20S03</t>
  </si>
  <si>
    <t>At the same time, Jullian takes KATIYA on a date to the local hot springs. They briefly argue.</t>
  </si>
  <si>
    <t>2.20.3</t>
  </si>
  <si>
    <t>Valenseia | Gaffesend | Southern Fields | 2026-06-29 | 11:05:00</t>
  </si>
  <si>
    <t>42.95–43.44</t>
  </si>
  <si>
    <t>PGK-2.20.3</t>
  </si>
  <si>
    <t>A02C20S04</t>
  </si>
  <si>
    <t>CODY finds he can hardly remember the date. He sits with Kei at sushi. They talk about the past, and Cody insists he's better than okay.</t>
  </si>
  <si>
    <t>2.20.4</t>
  </si>
  <si>
    <t>Colorado | Denver | 16th Street Mall | 2026-06-29 | 15:32:00</t>
  </si>
  <si>
    <t>43.44–44.08</t>
  </si>
  <si>
    <t>PGC-2.20.4</t>
  </si>
  <si>
    <t>A02C21S01</t>
  </si>
  <si>
    <t>Foreign Affairs</t>
  </si>
  <si>
    <t>An uncomfortable truth is dragged out of Jullian by KATIYA when she sits in the cold tub.</t>
  </si>
  <si>
    <t>2.21.1</t>
  </si>
  <si>
    <t>A02C21</t>
  </si>
  <si>
    <t>Valenseia | Holmfirth | Firtholm Hot Springs | 2026-06-29 | 15:33:00</t>
  </si>
  <si>
    <t>44.08–45.01</t>
  </si>
  <si>
    <t>PGK-2.21.1</t>
  </si>
  <si>
    <t>A02C21S02</t>
  </si>
  <si>
    <t>MIXED scene of Cody and Katiya having a bad time. Cody and Kei realize they are no longer a fit. Katiya snaps to Jullian who has been far too distant, growing apart.</t>
  </si>
  <si>
    <t>2.21.2</t>
  </si>
  <si>
    <t>Colorado | Denver | 16th Street Mall | 2026-06-29 | 17:09:00</t>
  </si>
  <si>
    <t>45.01–45.10</t>
  </si>
  <si>
    <t>PGC-2.21.2(A)</t>
  </si>
  <si>
    <t>A02C21S03</t>
  </si>
  <si>
    <t>2.21.3</t>
  </si>
  <si>
    <t>Valenseia | Holmfirth | Firtholm Hot Springs | 2026-06-29 | 15:42:00</t>
  </si>
  <si>
    <t>45.10–45.34</t>
  </si>
  <si>
    <t>PGK-2.21.2(B)</t>
  </si>
  <si>
    <t>A02C21S04</t>
  </si>
  <si>
    <t>2.21.4</t>
  </si>
  <si>
    <t>Colorado | Denver | 2026-06-29 | 17:24:00</t>
  </si>
  <si>
    <t>45.34–45.65</t>
  </si>
  <si>
    <t>PGC-2.21.2(C)</t>
  </si>
  <si>
    <t>A02C21S05</t>
  </si>
  <si>
    <t>2.21.5</t>
  </si>
  <si>
    <t>Valenseia | Holmfirth | Firtholm Hot Springs | 2026-06-29 | 15:51:00</t>
  </si>
  <si>
    <t>45.65–46.02</t>
  </si>
  <si>
    <t>PGK-2.21.2(D)</t>
  </si>
  <si>
    <t>A02C21S06</t>
  </si>
  <si>
    <t>CODY and Kei get dirty at Cody's house, but Cody is depressed that it feels like a hookup. He always thought she would be "the one."</t>
  </si>
  <si>
    <t>2.21.6</t>
  </si>
  <si>
    <t>Colorado | Hearthland Ridge | 2026-06-29 | 18:23:00</t>
  </si>
  <si>
    <t>46.02–46.74</t>
  </si>
  <si>
    <t>PGC-2.21.3</t>
  </si>
  <si>
    <t>A02C22S01</t>
  </si>
  <si>
    <t>Losing To Fear</t>
  </si>
  <si>
    <t>KATIYA passes her first series of exams, but struggles at the shooting test since she's stayed away from the base in humiliation. Her foil, ARYN, is calm and collected.</t>
  </si>
  <si>
    <t>2.22.1</t>
  </si>
  <si>
    <t>A02C22</t>
  </si>
  <si>
    <t>Valenseia | Gaffesend | Gaffe Royal Base | 2026-07-07 | 08:26:00</t>
  </si>
  <si>
    <t>46.74–47.87</t>
  </si>
  <si>
    <t>PGK-2.22.1</t>
  </si>
  <si>
    <t>A02C22S02</t>
  </si>
  <si>
    <t>CODY argues with Reed on a walk outside over the nature of being a level one engineer.</t>
  </si>
  <si>
    <t>2.22.2</t>
  </si>
  <si>
    <t>Colorado | Shaleborough | Navidson-Monroe Aerospace | Legacy Systems Annex | 2026-07-07 | 13:40:00</t>
  </si>
  <si>
    <t>47.87–48.98</t>
  </si>
  <si>
    <t>PGC-2.22.2</t>
  </si>
  <si>
    <t>A02C22S03</t>
  </si>
  <si>
    <t>KATIYA insists on leading the team in an exam exercise for the points. But she feels like she's lost her edge.</t>
  </si>
  <si>
    <t>2.22.3</t>
  </si>
  <si>
    <t>Valenseia | Gaffesend | The Old Castle | 2026-07-07 | 17:21:00</t>
  </si>
  <si>
    <t>48.98–49.71</t>
  </si>
  <si>
    <t>PGK-2.22.3</t>
  </si>
  <si>
    <t>A02C23S01</t>
  </si>
  <si>
    <t>Failing To Launch</t>
  </si>
  <si>
    <t>CODY makes his presentation to the team, but is criticized rather intensely.  Reed's executive allies shift the conversation.</t>
  </si>
  <si>
    <t>2.23.1</t>
  </si>
  <si>
    <t>A02C23</t>
  </si>
  <si>
    <t>Colorado | Shaleborough | Navidson-Monroe Aerospace | Legacy Systems Annex | 2026-07-07 | 14:04:00</t>
  </si>
  <si>
    <t>49.71–51.22</t>
  </si>
  <si>
    <t>PGC-2.23.1</t>
  </si>
  <si>
    <t>A02C23S02</t>
  </si>
  <si>
    <t>KATIYA's plan atrophies due to her slow advance. The other team gets the upper hand. Bertram is "killed" due to Katiya's incompetence, and she barges in to the other house.</t>
  </si>
  <si>
    <t>2.23.2</t>
  </si>
  <si>
    <t>Valenseia | Gaffesend | The Old Castle | 2026-07-07 | 17:30:00</t>
  </si>
  <si>
    <t>51.22–52.14</t>
  </si>
  <si>
    <t>PGK-2.23.2</t>
  </si>
  <si>
    <t>A02C24S01</t>
  </si>
  <si>
    <t>Friendly Fire</t>
  </si>
  <si>
    <t>REED gives his presentation. CODY is the only one to provide light criticisms, and is attacked for being jealous. Cody finally snaps, calling everyone out in an almost firable way.</t>
  </si>
  <si>
    <t>2.24.1</t>
  </si>
  <si>
    <t>A02C24</t>
  </si>
  <si>
    <t>Colorado | Shaleborough | Navidson-Monroe Aerospace | Legacy Systems Annex | 2026-07-07 | 14:12:00</t>
  </si>
  <si>
    <t>52.14–53.10</t>
  </si>
  <si>
    <t>PGC-2.24.1</t>
  </si>
  <si>
    <t>A02C24S02</t>
  </si>
  <si>
    <t>KATIYA's team is outsmarted by the other side. ARYN challenges Katiya directly, and she loses. She is told that she is below the line, and discovers that her family has been in Gaffesend for a while.</t>
  </si>
  <si>
    <t>2.24.2</t>
  </si>
  <si>
    <t>Valenseia | Gaffesend | The Old Castle | 2026-07-07 | 17:37:00</t>
  </si>
  <si>
    <t>53.10–54.46</t>
  </si>
  <si>
    <t>PGK-2.24.2</t>
  </si>
  <si>
    <t>A02C25S01</t>
  </si>
  <si>
    <t>A House Divided</t>
  </si>
  <si>
    <t>CODY races home in a bottleneck of his failures, doubting himself.</t>
  </si>
  <si>
    <t>2.25.1</t>
  </si>
  <si>
    <t>A02C25</t>
  </si>
  <si>
    <t>Colorado | Evergreen Estates | Cody's House | 2026-07-07 | 16:48:00</t>
  </si>
  <si>
    <t>54.46–54.90</t>
  </si>
  <si>
    <t>PGC-2.25.1</t>
  </si>
  <si>
    <t>A02C25S02</t>
  </si>
  <si>
    <t>KATIYA sits on Cody's couch. They have a bitter argument driven by their failures, and end up closing the door on each other again.</t>
  </si>
  <si>
    <t>2.25.2</t>
  </si>
  <si>
    <t>Apex</t>
  </si>
  <si>
    <t>Colorado | Evergreen Estates | Cody's House | 2026-07-07 | 17:35:00</t>
  </si>
  <si>
    <t>54.90–56.00</t>
  </si>
  <si>
    <t>PGK-2.25.2</t>
  </si>
  <si>
    <t>A03C26S01</t>
  </si>
  <si>
    <t>Cold War</t>
  </si>
  <si>
    <t>JACKSON approaches the landzone to commence Operation Bluewings. The cold makes him uncomfortable over his tech.</t>
  </si>
  <si>
    <t>3.26.1</t>
  </si>
  <si>
    <t>A03C26</t>
  </si>
  <si>
    <t>2015-10-03 | 02:23:00</t>
  </si>
  <si>
    <t>56.00–56.64</t>
  </si>
  <si>
    <t>PGC-3.26.1</t>
  </si>
  <si>
    <t>A03C26S02</t>
  </si>
  <si>
    <t>They arrive at the operating point. JACKSON flies the drone, but falters due to the weather, and it crashes, alterting the enemy.</t>
  </si>
  <si>
    <t>3.26.2</t>
  </si>
  <si>
    <t>2015-10-03 | 03:52:00</t>
  </si>
  <si>
    <t>56.64–57.33</t>
  </si>
  <si>
    <t>PGC-3.26.2</t>
  </si>
  <si>
    <t>A03C26S03</t>
  </si>
  <si>
    <t>The operation is aborted. JACKSON's team climb the hill, resisting the first scouts. In an act of courage, Jackson sacrifices himself to make contact with Overwatch.</t>
  </si>
  <si>
    <t>3.26.3</t>
  </si>
  <si>
    <t>2015-10-03 | 06:28:05</t>
  </si>
  <si>
    <t>57.33–58.31</t>
  </si>
  <si>
    <t>PGC-3.26.3</t>
  </si>
  <si>
    <t>A03C27S01</t>
  </si>
  <si>
    <t>Warm Solitude</t>
  </si>
  <si>
    <t>A decade earlier, KATIYA swings between trees with friends Bertram, Raph, and Raven to get over the protective wall. They encounter older kids that challenge them to a game of hide-and-seek.</t>
  </si>
  <si>
    <t>3.27.1</t>
  </si>
  <si>
    <t>A03C27</t>
  </si>
  <si>
    <t>Valenseia | Hillfar | The Shortwall | 2005-08-23 | 15:20:00</t>
  </si>
  <si>
    <t>58.31–59.53</t>
  </si>
  <si>
    <t>PGK-3.27.1</t>
  </si>
  <si>
    <t>A03C27S02</t>
  </si>
  <si>
    <t>They take refuge in the treehouse: Raph is the last to climb, and is assaulted by the Chymaerans. The treehouse collapses. Raph is skewered by a branch through his throat. And KATIYA feels a new emotion for the first time as she runs away.</t>
  </si>
  <si>
    <t>3.27.2</t>
  </si>
  <si>
    <t>Valenseia | Hillfar | Outskirts | 2005-08-23 | 16:12:00</t>
  </si>
  <si>
    <t>59.53–60.51</t>
  </si>
  <si>
    <t>PGK-3.27.2</t>
  </si>
  <si>
    <t>A03C27S03</t>
  </si>
  <si>
    <t>KATIYA hides in the pit of corpses as she tries to stabilize Raph, waiting for the Chymaeran Death Scouts to leave. They return with a lie, and Katiya is never the same.</t>
  </si>
  <si>
    <t>3.27.3</t>
  </si>
  <si>
    <t>Valenseia | Hillfar | Outskirts | 2005-08-23 | 23:57:00</t>
  </si>
  <si>
    <t>60.51–61.05</t>
  </si>
  <si>
    <t>PGK-3.27.3</t>
  </si>
  <si>
    <t>A03C28S01</t>
  </si>
  <si>
    <t>Prometheus</t>
  </si>
  <si>
    <t>Months later, a one-on-one with Naveen shows CODY has improved, but he is even more depressed and bored. At company lunch, he sits with his father Alan. REED gets the promotion, and Alan tries to comfort his son and hide his disappointment.</t>
  </si>
  <si>
    <t>3.28.1</t>
  </si>
  <si>
    <t>A03C28</t>
  </si>
  <si>
    <t>Colorado | Shaleborough | Navidson-Monroe Aerospace | Legacy Systems Annex | 2026-11-25 | 11:00:00</t>
  </si>
  <si>
    <t>61.05–61.90</t>
  </si>
  <si>
    <t>PGC-3.28.1</t>
  </si>
  <si>
    <t>A03C28S02</t>
  </si>
  <si>
    <t>REED approaches CODY for help with refining his prototype with many issues. They work together, and Cody begins to remember what passions he had in the first place.</t>
  </si>
  <si>
    <t>3.28.2</t>
  </si>
  <si>
    <t>Colorado | Shaleborough | Navidson-Monroe Aerospace | 2026-11-25 | 12:17:00</t>
  </si>
  <si>
    <t>61.90–62.68</t>
  </si>
  <si>
    <t>PGC-3.28.2</t>
  </si>
  <si>
    <t>A03C28S03</t>
  </si>
  <si>
    <t>CODY returns home. He toils in the garage on a rare emotional high, using a forgotten pouch of Essence as flux for repairing a flashlight. When the circuit closes, it fires the three batteries as projectiles, giving Cody an idea.</t>
  </si>
  <si>
    <t>3.28.3</t>
  </si>
  <si>
    <t>Colorado | Shaleborough | Navidson-Monroe Aerospace | 2026-11-25 | 22:01:00</t>
  </si>
  <si>
    <t>62.68–63.06</t>
  </si>
  <si>
    <t>PGC-3.28.3</t>
  </si>
  <si>
    <t>A03C29S01</t>
  </si>
  <si>
    <t>Once Lovers</t>
  </si>
  <si>
    <t>KATIYA's family talking with her over the dinner table, assured everything is alright. Brother Erik asks why she lies, but goes along with it.</t>
  </si>
  <si>
    <t>3.29.1</t>
  </si>
  <si>
    <t>A03C29</t>
  </si>
  <si>
    <t>Valenseia | Gaffesend | Hilde Cottage | 2026-11-26 | 16:07:00</t>
  </si>
  <si>
    <t>63.06–63.66</t>
  </si>
  <si>
    <t>PGK-3.29.1</t>
  </si>
  <si>
    <t>A03C29S02</t>
  </si>
  <si>
    <t>Walking home, KATIYA encounters Jullian kissing another girl in the tavern through the window. Aryn eyes her, watching her respond confidently and respectfully.</t>
  </si>
  <si>
    <t>3.29.2</t>
  </si>
  <si>
    <t>Valenseia | Gaffesend | Hilde Cottage | 2026-11-26 | 17:49:00</t>
  </si>
  <si>
    <t>63.66–64.24</t>
  </si>
  <si>
    <t>PGK-3.29.2</t>
  </si>
  <si>
    <t>A03C29S03</t>
  </si>
  <si>
    <t>3.29.3</t>
  </si>
  <si>
    <t>Valenseia | Gaffesend | 2026-11-26 | 17:56:00</t>
  </si>
  <si>
    <t>64.24–64.78</t>
  </si>
  <si>
    <t>PGK-3.29.3 (A)</t>
  </si>
  <si>
    <t>A03C29S04</t>
  </si>
  <si>
    <t>Brief interlude where CODY does an evening test after everybody leaves with Essence and a battery, using father's credentials. System oversurges. Cody quickly leaves.</t>
  </si>
  <si>
    <t>3.29.4</t>
  </si>
  <si>
    <t>Colorado | Shaleborough | Navidson-Monroe Aerospace | Legacy Systems Annex | 2026-11-26 | 18:31:25</t>
  </si>
  <si>
    <t>64.78–65.34</t>
  </si>
  <si>
    <t>PGC-3.29.3 (B)</t>
  </si>
  <si>
    <t>A03C30S01</t>
  </si>
  <si>
    <t>Cold Sweat</t>
  </si>
  <si>
    <t>KATIYA goes on a run with ARYN that turns into a walk where they discuss their lives, and Aryn's admiration of Katiya.</t>
  </si>
  <si>
    <t>3.30.1</t>
  </si>
  <si>
    <t>A03C30</t>
  </si>
  <si>
    <t>Valenseia | Gaffesend | Lake Garrison | 2026-11-27 | 09:47:00</t>
  </si>
  <si>
    <t>65.34–65.73</t>
  </si>
  <si>
    <t>PGK-3.30.1</t>
  </si>
  <si>
    <t>A03C30S02</t>
  </si>
  <si>
    <t>CODY and Reed are at the gym. Discussion of Kei and Reed's relationship, questions about battery project. Cody seeds that he might have made a breakthrough.</t>
  </si>
  <si>
    <t>3.30.2</t>
  </si>
  <si>
    <t>Colorado | Hearthland Ridge | FirstChoice Fitness | 2026-11-27 | 06:48:00</t>
  </si>
  <si>
    <t>65.73–66.13</t>
  </si>
  <si>
    <t>PGC-3.30.2</t>
  </si>
  <si>
    <t>A03C30S03</t>
  </si>
  <si>
    <t>KATIYA resumes conversation with ARYN, noting similarities to Cody, realizing she misses him.</t>
  </si>
  <si>
    <t>3.30.3</t>
  </si>
  <si>
    <t>Valenseia | Gaffesend | Lake Garrison | 2026-11-27 | 11:12:00</t>
  </si>
  <si>
    <t>66.13–66.40</t>
  </si>
  <si>
    <t>PGK-3.30.3</t>
  </si>
  <si>
    <t>A03C30S04</t>
  </si>
  <si>
    <t>CODY ends his gym session with REED, noting similarities to Katiya, realizing he misses her.</t>
  </si>
  <si>
    <t>3.30.4</t>
  </si>
  <si>
    <t>Colorado | Hearthland Ridge | FirstChoice Fitness | 2026-11-27 | 07:10:00</t>
  </si>
  <si>
    <t>66.40–66.55</t>
  </si>
  <si>
    <t>PGC-3.30.4</t>
  </si>
  <si>
    <t>A03C31S01</t>
  </si>
  <si>
    <t>Heating Up</t>
  </si>
  <si>
    <t>KATIYA is exhausted from overwork, but goes for a run in the evening. Passes out. Wakes to emergency text from Cody.</t>
  </si>
  <si>
    <t>3.31.1</t>
  </si>
  <si>
    <t>A03C31</t>
  </si>
  <si>
    <t>Valenseia | Gaffesend | Katiya's House | 2026-11-28 | 16:45:00</t>
  </si>
  <si>
    <t>66.55–66.94</t>
  </si>
  <si>
    <t>PGK-3.31.1</t>
  </si>
  <si>
    <t>A03C31S02</t>
  </si>
  <si>
    <t>CODY narrowly dodges Internal Affairs after powering through redlines and Naveen letting him go home early.</t>
  </si>
  <si>
    <t>3.31.2</t>
  </si>
  <si>
    <t>Colorado | Shaleborough | Navidson-Monroe Aerospace | Legacy Systems Annex | 2026-11-28 | 15:23:00</t>
  </si>
  <si>
    <t>66.94–67.88</t>
  </si>
  <si>
    <t>PGC-3.31.2</t>
  </si>
  <si>
    <t>A03C31S03</t>
  </si>
  <si>
    <t>KATIYA saves Cody with Rayna, and they almost share a romantic beat. Rayna will stay with Cody/Katiya indefiniitely.</t>
  </si>
  <si>
    <t>3.31.3</t>
  </si>
  <si>
    <t>Valenseia | Gaffesend | 2026-11-28 | 20:35:00</t>
  </si>
  <si>
    <t>67.88–68.87</t>
  </si>
  <si>
    <t>PGK-3.31.3</t>
  </si>
  <si>
    <t>A03C32S01</t>
  </si>
  <si>
    <t>Fantastic Modernity</t>
  </si>
  <si>
    <t>Mirror scene of KATIYA waking to panic where there was nobody there last time: finds Cody who comforts her.</t>
  </si>
  <si>
    <t>3.32.1</t>
  </si>
  <si>
    <t>A03C32</t>
  </si>
  <si>
    <t>Colorado | Evergreen Estates | Cody's House | 2026-11-29 | 05:13:00</t>
  </si>
  <si>
    <t>68.87–69.47</t>
  </si>
  <si>
    <t>PGK-3.32.1</t>
  </si>
  <si>
    <t>A03C32S02</t>
  </si>
  <si>
    <t>CODY wakes to Katiya next to him: bottleneck discussion with Katiya and Rayna before Cody's friends arrive.</t>
  </si>
  <si>
    <t>3.32.2</t>
  </si>
  <si>
    <t>Colorado | Evergreen Estates | Cody's House | 2026-11-29 | 09:31:00</t>
  </si>
  <si>
    <t>69.47–70.02</t>
  </si>
  <si>
    <t>PGC-3.32.2</t>
  </si>
  <si>
    <t>A03C32S03</t>
  </si>
  <si>
    <t>CODY, Katiya, Rayna, Miguel, Kei and Reed meet at Cody's house to go to the renaissance faire. They arrive at the entry gate.</t>
  </si>
  <si>
    <t>3.32.3</t>
  </si>
  <si>
    <t>Colorado | Evergreen Estates | Cody's House | 2026-11-29 | 10:12:00</t>
  </si>
  <si>
    <t>70.02–70.76</t>
  </si>
  <si>
    <t>PGC-3.32.3</t>
  </si>
  <si>
    <t>A03C33S01</t>
  </si>
  <si>
    <t>Modern Fantasy</t>
  </si>
  <si>
    <t>While the others fetch meals, CODY and Kei indirectly admit their "break up" in a refreshing exchange.</t>
  </si>
  <si>
    <t>3.33.1</t>
  </si>
  <si>
    <t>A03C33</t>
  </si>
  <si>
    <t>Colorado | Shaleborough | Rocky Mountain National Forest | 2026-11-29 | 14:10:00</t>
  </si>
  <si>
    <t>70.76–71.54</t>
  </si>
  <si>
    <t>PGC-3.33.1</t>
  </si>
  <si>
    <t>A03C33S02</t>
  </si>
  <si>
    <t>KATIYA and Rayna battle at the end of their tournament bracket: Katiya wins, and kisses Cody by pressure from the crowd. Some email bludgeons Cody.</t>
  </si>
  <si>
    <t>3.33.2</t>
  </si>
  <si>
    <t>Colorado | Shaleborough | Rocky Mountain National Forest | 2026-11-29 | 14:53:00</t>
  </si>
  <si>
    <t>71.54–72.43</t>
  </si>
  <si>
    <t>PGK-3.33.2 (A)</t>
  </si>
  <si>
    <t>A03C33S03</t>
  </si>
  <si>
    <t>[INTERLUDE] KATIYA wakes to the smell of smoke all the way from Cody's side: discovers something has happened in Gaffesend and is late to report.</t>
  </si>
  <si>
    <t>3.33.3</t>
  </si>
  <si>
    <t>Colorado | Shaleborough | Rocky Mountain National Forest | 2026-11-29 | 22:12:00</t>
  </si>
  <si>
    <t>72.43–72.96</t>
  </si>
  <si>
    <t>PGK-3.33.2 (B)</t>
  </si>
  <si>
    <t>A03C34S01</t>
  </si>
  <si>
    <t>Professional Death</t>
  </si>
  <si>
    <t>Cody is afraid to enter work. Sneaks in through the technician door. Throws up before making it to his desk.</t>
  </si>
  <si>
    <t>3.34.1</t>
  </si>
  <si>
    <t>A03C34</t>
  </si>
  <si>
    <t>Colorado | Evergreen Estates | Navidson-Monroe Aerospace | Legacy Systems Annex | 2026-11-30 | 06:00:03</t>
  </si>
  <si>
    <t>72.96–73.44</t>
  </si>
  <si>
    <t>PGC-3.34.1</t>
  </si>
  <si>
    <t>A03C34S02</t>
  </si>
  <si>
    <t>Called into an emergency HR meeting. Shown footage of his presence. Father in room. Asked to explain.</t>
  </si>
  <si>
    <t>3.34.2</t>
  </si>
  <si>
    <t>Colorado | Shaleborough | Navidson-Monroe Aerospace | 2026-11-30 | 07:00:02</t>
  </si>
  <si>
    <t>73.44–74.44</t>
  </si>
  <si>
    <t>PGC-3.34.2</t>
  </si>
  <si>
    <t>A03C34S03</t>
  </si>
  <si>
    <t>Father speaks up. Tells lie to protect son and is fired on the spot.</t>
  </si>
  <si>
    <t>3.34.3</t>
  </si>
  <si>
    <t>Colorado | Shaleborough | Navidson-Monroe Aerospace | Legacy Systems Annex | 2026-11-30 | 08:12:00</t>
  </si>
  <si>
    <t>74.44–74.80</t>
  </si>
  <si>
    <t>PGC-3.34.3</t>
  </si>
  <si>
    <t>A03C35S01</t>
  </si>
  <si>
    <t>Physical Demise</t>
  </si>
  <si>
    <t>Katiya responds to Bertram's disappearance.</t>
  </si>
  <si>
    <t>3.35.1</t>
  </si>
  <si>
    <t>A03C35</t>
  </si>
  <si>
    <t>Valenseia | Gaffesend | Guards' Quarter | 2026-11-30 | 10:21:00</t>
  </si>
  <si>
    <t>74.80–75.53</t>
  </si>
  <si>
    <t>PGK-3.35.1</t>
  </si>
  <si>
    <t>A03C35S02</t>
  </si>
  <si>
    <t>Jullian and Aryn confront Katiya.</t>
  </si>
  <si>
    <t>3.35.2</t>
  </si>
  <si>
    <t>Valenseia | Gaffesend | Gaffe Royal Base | 2026-11-30 | 10:54:00</t>
  </si>
  <si>
    <t>75.53–76.01</t>
  </si>
  <si>
    <t>PGK-3.35.2</t>
  </si>
  <si>
    <t>A03C35S03</t>
  </si>
  <si>
    <t>Katiya fails to save her best friend.</t>
  </si>
  <si>
    <t>3.35.3</t>
  </si>
  <si>
    <t>Valenseia | Hillfar | Village Outskirts | 2026-11-30 | 12:42:00</t>
  </si>
  <si>
    <t>76.01–77.14</t>
  </si>
  <si>
    <t>PGK-3.35.3</t>
  </si>
  <si>
    <t>A03C36S01</t>
  </si>
  <si>
    <t>Holding On</t>
  </si>
  <si>
    <t>Clears out desk, but still stubbornly refuses to quit. Kei and Reed try to console him.</t>
  </si>
  <si>
    <t>3.36.1</t>
  </si>
  <si>
    <t>A03C36</t>
  </si>
  <si>
    <t>Colorado | Shaleborough | Navidson-Monroe Aerospace | Legacy Systems Annex | 2026-11-30 | 13:02:00</t>
  </si>
  <si>
    <t>77.14–77.83</t>
  </si>
  <si>
    <t>PGC-3.36.1</t>
  </si>
  <si>
    <t>A03C36S02</t>
  </si>
  <si>
    <t>Ends up on the floor at his father's toolbox: opens to find picture of him and his brother.</t>
  </si>
  <si>
    <t>3.36.2</t>
  </si>
  <si>
    <t>Valenseia | Hearthland Ridge | 2026-11-30 | 17:49:00</t>
  </si>
  <si>
    <t>77.83–78.72</t>
  </si>
  <si>
    <t>PGC-3.36.2</t>
  </si>
  <si>
    <t>A03C36S03</t>
  </si>
  <si>
    <t>He starts holding on instead of fully surrendering</t>
  </si>
  <si>
    <t>3.36.3</t>
  </si>
  <si>
    <t>Colorado | Hearthland Ridge | 2026-11-30 | 19:40:00</t>
  </si>
  <si>
    <t>78.72–79.61</t>
  </si>
  <si>
    <t>PGC-3.36.3</t>
  </si>
  <si>
    <t>A03C37S01</t>
  </si>
  <si>
    <t>Letting Go</t>
  </si>
  <si>
    <t>Aldrin reacts to the aftermath, calling for tribunal and her suspension.</t>
  </si>
  <si>
    <t>3.37.1</t>
  </si>
  <si>
    <t>A03C37</t>
  </si>
  <si>
    <t>Valenseia | Hillfar | 2026-12-01 | 16:53:00</t>
  </si>
  <si>
    <t>79.61–80.10</t>
  </si>
  <si>
    <t>PGK-3.37.1</t>
  </si>
  <si>
    <t>A03C37S02</t>
  </si>
  <si>
    <t>Katiya returns with Erik and the others. Her past is reframed in a misunderstanding.</t>
  </si>
  <si>
    <t>3.37.2</t>
  </si>
  <si>
    <t>Valenseia | Hillfar | Village Outskirts | 2026-12-01 | 17:32:00</t>
  </si>
  <si>
    <t>80.10–80.61</t>
  </si>
  <si>
    <t>PGK-3.37.2</t>
  </si>
  <si>
    <t>A03C37S03</t>
  </si>
  <si>
    <t>Cody has an internal debate over what to do next. Finds memories from his past doing the drone project.</t>
  </si>
  <si>
    <t>3.37.3</t>
  </si>
  <si>
    <t>Colorado | Evergreen Estates | Cody's House | 2026-12-01 | 23:32:00</t>
  </si>
  <si>
    <t>80.61–81.43</t>
  </si>
  <si>
    <t>PGC-3.37.3</t>
  </si>
  <si>
    <t>A03C37S04</t>
  </si>
  <si>
    <t>Katiya attends the memorial service to say goodbye.</t>
  </si>
  <si>
    <t>3.37.4</t>
  </si>
  <si>
    <t>Valenseia | Gaffesend | Katiya's House | 2026-12-06 | 12:09:00</t>
  </si>
  <si>
    <t>81.43–82.14</t>
  </si>
  <si>
    <t>PGK-3.37.4</t>
  </si>
  <si>
    <t>A04C38S01</t>
  </si>
  <si>
    <t>Bottoming Out</t>
  </si>
  <si>
    <t>Cody is spiraling alone when Katiya arrives shattered by Bertram's death. Instead of pushing each other away, they finally speak honestly about grief, failure, and what is breaking inside them.</t>
  </si>
  <si>
    <t>4.38.1</t>
  </si>
  <si>
    <t>A04C38</t>
  </si>
  <si>
    <t>Colorado | Evergreen Estates | Cody's House | 2026-12-08 | 00:00:00</t>
  </si>
  <si>
    <t>82.14–82.98</t>
  </si>
  <si>
    <t>PGC-4.38.1</t>
  </si>
  <si>
    <t>A04C38S02</t>
  </si>
  <si>
    <t>Katiya receives her tribunal summons, turning her fear into a deadline. Cody's late message gives her one reason to keep moving instead of giving up.</t>
  </si>
  <si>
    <t>4.38.2</t>
  </si>
  <si>
    <t>Valenseia | Gaffesend | Katiya's House | 2026-12-08 | 00:12:00</t>
  </si>
  <si>
    <t>82.98–83.70</t>
  </si>
  <si>
    <t>PGK-4.38.2</t>
  </si>
  <si>
    <t>A04C39S01</t>
  </si>
  <si>
    <t>Crossing Over</t>
  </si>
  <si>
    <t>Cody wakes beside Katiya and is thrown into a terrifying first encounter with Titus and Sylvia. Their arrival makes it clear that a much larger disaster is closing in.</t>
  </si>
  <si>
    <t>4.39.1</t>
  </si>
  <si>
    <t>A04C39</t>
  </si>
  <si>
    <t>Valenseia | Gaffesend | Katiya's House | 03:39:47</t>
  </si>
  <si>
    <t>83.70–84.65</t>
  </si>
  <si>
    <t>PGC-4.39.1</t>
  </si>
  <si>
    <t>A04C39S02</t>
  </si>
  <si>
    <t>Rayna, Titus, and Sylvia explain the larger conflict and what may be coming for Gaffesend. Katiya realizes her problems are no longer just local or personal.</t>
  </si>
  <si>
    <t>4.39.2</t>
  </si>
  <si>
    <t>Valenseia | Gaffesend | Katiya's House | 00:00:00</t>
  </si>
  <si>
    <t>84.65–85.19</t>
  </si>
  <si>
    <t>PGK-4.39.2</t>
  </si>
  <si>
    <t>A04C39S03</t>
  </si>
  <si>
    <t>Cody and Katiya go to the gym, where flirtation turns into a brutal push toward discipline and survival. The scene reframes their bond as something that can strengthen them instead of just comforting them.</t>
  </si>
  <si>
    <t>4.39.3</t>
  </si>
  <si>
    <t>Colorado | Hearthland Ridge | FirstChoice Fitness | 00:00:00</t>
  </si>
  <si>
    <t>85.19–85.80</t>
  </si>
  <si>
    <t>PGC-4.39.3</t>
  </si>
  <si>
    <t>A04C40S01</t>
  </si>
  <si>
    <t>Reaching Up</t>
  </si>
  <si>
    <t>Katiya brings the group into Cody's world for coffee and planning. The outing is funny on the surface, but it marks the start of real coalition-building.</t>
  </si>
  <si>
    <t>4.40.1</t>
  </si>
  <si>
    <t>A04C40</t>
  </si>
  <si>
    <t>Colorado | Hearthland Ridge | 00:00:00</t>
  </si>
  <si>
    <t>85.80–86.45</t>
  </si>
  <si>
    <t>PGK-4.40.1</t>
  </si>
  <si>
    <t>A04C40S02</t>
  </si>
  <si>
    <t>Cody reveals his abandoned drone project, and the others immediately see battlefield value in it. What he thought was dead becomes central to their plans.</t>
  </si>
  <si>
    <t>4.40.2</t>
  </si>
  <si>
    <t>86.45–87.11</t>
  </si>
  <si>
    <t>PGC-4.40.2</t>
  </si>
  <si>
    <t>A04C40S03</t>
  </si>
  <si>
    <t>Cody's friends and Firebrand's refugees gather under one roof and begin functioning like a team. The chapter ends with Aryn arriving, bringing the outside pressure back to the door.</t>
  </si>
  <si>
    <t>4.40.3</t>
  </si>
  <si>
    <t>Colorado | Evergreen Estates | Cody's House | 00:00:00</t>
  </si>
  <si>
    <t>87.11–87.73</t>
  </si>
  <si>
    <t>PGK-4.40.3</t>
  </si>
  <si>
    <t>A04C41S01</t>
  </si>
  <si>
    <t>Annealment</t>
  </si>
  <si>
    <t>Cody begins rebuilding the drone with real help instead of shame and secrecy. The work gives him momentum and opens a path toward Reed's promised opportunity.</t>
  </si>
  <si>
    <t>4.41.1</t>
  </si>
  <si>
    <t>A04C41</t>
  </si>
  <si>
    <t>87.73–88.41</t>
  </si>
  <si>
    <t>PGC-4.41.1</t>
  </si>
  <si>
    <t>A04C41S02</t>
  </si>
  <si>
    <t>Aryn visits with Katiya's tribunal date while Rayna hides dangerously close by. Katiya has to balance gratitude, guilt, and deception without letting the truth surface.</t>
  </si>
  <si>
    <t>4.41.2</t>
  </si>
  <si>
    <t>88.41–89.00</t>
  </si>
  <si>
    <t>PGK-4.41.2</t>
  </si>
  <si>
    <t>A04C41S03</t>
  </si>
  <si>
    <t>Katiya escorts Rayna, Titus, and Sylvia toward a covert contact, but the mission reveals that they are already being watched. The danger expands from political secrecy into something stranger and more dangerous.</t>
  </si>
  <si>
    <t>4.41.3</t>
  </si>
  <si>
    <t>Truth-aligned</t>
  </si>
  <si>
    <t>Valenseia | Gaffesend | Market Street | 00:00:00</t>
  </si>
  <si>
    <t>89.00–89.71</t>
  </si>
  <si>
    <t>PGK-4.41.3</t>
  </si>
  <si>
    <t>A04C42S01</t>
  </si>
  <si>
    <t>Eutectic Point</t>
  </si>
  <si>
    <t>Aliaki introduces Katiya to a much larger network of people and stakes beyond Gaffesend. The conflict around her suddenly feels geopolitical instead of provincial.</t>
  </si>
  <si>
    <t>4.42.1</t>
  </si>
  <si>
    <t>A04C42</t>
  </si>
  <si>
    <t>00:00:00</t>
  </si>
  <si>
    <t>89.71–90.59</t>
  </si>
  <si>
    <t>PGK-4.42.1</t>
  </si>
  <si>
    <t>A04C42S02</t>
  </si>
  <si>
    <t>Cody visits Reed's family property and gets a look at the scale of life Reed comes from. The trip sharpens Reed's role as both foil and bridge to Cody's future.</t>
  </si>
  <si>
    <t>4.42.2</t>
  </si>
  <si>
    <t>Colorado | Hearthland Ridge | Dietz Park Estates | 00:00:00</t>
  </si>
  <si>
    <t>90.59–91.11</t>
  </si>
  <si>
    <t>PGC-4.42.2</t>
  </si>
  <si>
    <t>A04C42S03</t>
  </si>
  <si>
    <t>Jade and Aliaki explain the travel spheres and the fragile power they represent. By accepting them, Katiya steps deeper into a responsibility few people around her can even understand.</t>
  </si>
  <si>
    <t>4.42.3</t>
  </si>
  <si>
    <t>Blackwater | The Backwoods | 00:00:00</t>
  </si>
  <si>
    <t>91.11–91.65</t>
  </si>
  <si>
    <t>PGK-4.42.3</t>
  </si>
  <si>
    <t>A04C43S01</t>
  </si>
  <si>
    <t>Harsh Noise</t>
  </si>
  <si>
    <t>Cody starts real fabrication work in Reed's family machine space. For the first time in a while, engineering feels like craft, pride, and possibility instead of failure.</t>
  </si>
  <si>
    <t>4.43.1</t>
  </si>
  <si>
    <t>A04C43</t>
  </si>
  <si>
    <t>91.65–92.32</t>
  </si>
  <si>
    <t>PGC-4.43.1</t>
  </si>
  <si>
    <t>A04C43S02</t>
  </si>
  <si>
    <t>Katiya's fragile alliance almost tears itself apart when Sylvia and Jade clash. The scene proves how unstable this coalition still is, even when everyone wants the same outcome.</t>
  </si>
  <si>
    <t>4.43.2</t>
  </si>
  <si>
    <t>Valenseia | Gaffesend | The Old Castle | 00:00:00</t>
  </si>
  <si>
    <t>92.32–93.09</t>
  </si>
  <si>
    <t>PGK-4.43.2</t>
  </si>
  <si>
    <t>A04C43S03</t>
  </si>
  <si>
    <t>Cody becomes the emotional buffer during Aryn and Rayna's painful reunion. His home keeps turning into neutral ground for people carrying too much grief.</t>
  </si>
  <si>
    <t>4.43.3</t>
  </si>
  <si>
    <t>93.09–93.67</t>
  </si>
  <si>
    <t>PGC-4.43.3</t>
  </si>
  <si>
    <t>A04C44S01</t>
  </si>
  <si>
    <t>In Loving Memory</t>
  </si>
  <si>
    <t>Cody talks with Aryn and Rayna about grief through the lens of Jackson. The conversation creates connection by letting all three speak plainly about loss.</t>
  </si>
  <si>
    <t>4.44.1</t>
  </si>
  <si>
    <t>A04C44</t>
  </si>
  <si>
    <t>Colorado | Evergreen Estates | Cody's House</t>
  </si>
  <si>
    <t>93.67–94.18</t>
  </si>
  <si>
    <t>PGC-4.44.1</t>
  </si>
  <si>
    <t>A04C44S02</t>
  </si>
  <si>
    <t>Katiya comes home expecting more disaster and instead finds proof that Cody spent the night caring for others. The quiet sight of him lets her choose softness instead of fear.</t>
  </si>
  <si>
    <t>4.44.2</t>
  </si>
  <si>
    <t>Valenseia | Gaffesend | Katiya's House</t>
  </si>
  <si>
    <t>94.18–94.77</t>
  </si>
  <si>
    <t>PGK-4.44.2</t>
  </si>
  <si>
    <t>A04C44S03</t>
  </si>
  <si>
    <t>Cody and Katiya wake after a rare peaceful night together. The warmth is real, but the day ahead still carries consequences they cannot avoid.</t>
  </si>
  <si>
    <t>4.44.3</t>
  </si>
  <si>
    <t>94.77–95.52</t>
  </si>
  <si>
    <t>PGC-4.44.3</t>
  </si>
  <si>
    <t>A04C45S01</t>
  </si>
  <si>
    <t>In Future Grief</t>
  </si>
  <si>
    <t>Cody visits his parents and walks straight into their fear about his future. Their concern is real, but it comes out as pressure he can barely carry.</t>
  </si>
  <si>
    <t>4.45.1</t>
  </si>
  <si>
    <t>A04C45</t>
  </si>
  <si>
    <t>Colorado | Hearthland Ridge | Dunsmore Family Home</t>
  </si>
  <si>
    <t>95.52–96.05</t>
  </si>
  <si>
    <t>PGC-4.45.1</t>
  </si>
  <si>
    <t>A04C45S02</t>
  </si>
  <si>
    <t>Katiya tells her family what she believes is coming and why she still intends to stand against it. The scene frames her courage as a choice, not just obedience to duty.</t>
  </si>
  <si>
    <t>4.45.2</t>
  </si>
  <si>
    <t>Valenseia | Gaffesend | Hilde Cottage</t>
  </si>
  <si>
    <t>96.05–96.39</t>
  </si>
  <si>
    <t>PGK-4.45.2</t>
  </si>
  <si>
    <t>A04C45S03</t>
  </si>
  <si>
    <t>Cody reveals the rebuilt drone and ties it directly to Jackson's memory. The machine becomes both memorial and proof that he has not quit on his future.</t>
  </si>
  <si>
    <t>4.45.3</t>
  </si>
  <si>
    <t>96.39–96.95</t>
  </si>
  <si>
    <t>PGC-4.45.3</t>
  </si>
  <si>
    <t>A04C46S01</t>
  </si>
  <si>
    <t>Close Quarters</t>
  </si>
  <si>
    <t>Cody tests the prototype in Katiya's world with Titus and Sylvia watching. The demonstration proves his work may actually matter in the coming fight.</t>
  </si>
  <si>
    <t>4.46.1</t>
  </si>
  <si>
    <t>A04C46</t>
  </si>
  <si>
    <t>Valenseia | Gaffesend | Market Street</t>
  </si>
  <si>
    <t>96.95–97.59</t>
  </si>
  <si>
    <t>PGK-4.46.1</t>
  </si>
  <si>
    <t>A04C46S02</t>
  </si>
  <si>
    <t>When Cody pushes the test with Essence, the result is devastatingly powerful. The blast proves the weapon works, but also shows how badly they still misunderstand it.</t>
  </si>
  <si>
    <t>4.46.2</t>
  </si>
  <si>
    <t>Valenseia | Holmfirth | Outskirts</t>
  </si>
  <si>
    <t>97.59–98.05</t>
  </si>
  <si>
    <t>PGK-4.46.2</t>
  </si>
  <si>
    <t>A04C46S03</t>
  </si>
  <si>
    <t>Royal Guard pressure outside Katiya's house forces the group to reroute and hide instead of confronting it. In Cody's world, he and Katiya finally stop pretending they have unlimited time.</t>
  </si>
  <si>
    <t>4.46.3</t>
  </si>
  <si>
    <t>Valenseia | Holmfirth</t>
  </si>
  <si>
    <t>98.05–98.61</t>
  </si>
  <si>
    <t>PGC-4.46.3</t>
  </si>
  <si>
    <t>A04C46S04</t>
  </si>
  <si>
    <t>With tomorrow hanging over them, Cody and Katiya spend one last night in full awareness of what they may lose. Their feelings become explicit at the exact moment separation is closing in.</t>
  </si>
  <si>
    <t>4.46.4</t>
  </si>
  <si>
    <t>98.61–98.96</t>
  </si>
  <si>
    <t>PGK-4.46.4</t>
  </si>
  <si>
    <t>A04C47S01</t>
  </si>
  <si>
    <t>Ground Control</t>
  </si>
  <si>
    <t>Cody returns to Navidson-Monroe carrying his suit and the weight of what this day might cost him. He forces himself inside anyway, determined to reach Aspen before the company can close around him.</t>
  </si>
  <si>
    <t>4.47.1</t>
  </si>
  <si>
    <t>A04C47</t>
  </si>
  <si>
    <t>Unspecified | Unspecified | Unspecified | Unspecified</t>
  </si>
  <si>
    <t>98.96–99.43</t>
  </si>
  <si>
    <t>PGC-4.47.1</t>
  </si>
  <si>
    <t>A04C47S02</t>
  </si>
  <si>
    <t>Katiya wakes to find Royal Guard surrounding her home in a blizzard, taking her in as a flight risk "for her own safety." When she tries to escape, Erik catches her and becomes the first barrier she cannot simply outrun.</t>
  </si>
  <si>
    <t>4.47.2</t>
  </si>
  <si>
    <t>99.43–99.46</t>
  </si>
  <si>
    <t>PGK-4.47.2</t>
  </si>
  <si>
    <t>A04C47S03</t>
  </si>
  <si>
    <t>Cody changes into his suit and tries to slip upward toward the conference room, but his badge fails and HR intercepts him before he can get there. His plan to move quietly turns into a formal containment.</t>
  </si>
  <si>
    <t>4.47.3</t>
  </si>
  <si>
    <t>99.46–99.48</t>
  </si>
  <si>
    <t>PGC-4.47.3</t>
  </si>
  <si>
    <t>A04C47S04</t>
  </si>
  <si>
    <t>Katiya is jailed beside Titus and Sylvia, who offer to break everyone out by force. When she sees Aryn is the one guarding her, she decides on a riskier, smarter approach instead.</t>
  </si>
  <si>
    <t>4.47.4</t>
  </si>
  <si>
    <t>99.48–99.51</t>
  </si>
  <si>
    <t>PGK-4.47.4</t>
  </si>
  <si>
    <t>A04C48S01</t>
  </si>
  <si>
    <t>Metanoia</t>
  </si>
  <si>
    <t>Cody is pulled into a glass conference room where HR tries to reduce him to a clean termination case, with Reed present as witness. Cody refuses to sign, clears his father, and forces the company to deal with the messier truth of what he actually did.</t>
  </si>
  <si>
    <t>4.48.1</t>
  </si>
  <si>
    <t>A04C48</t>
  </si>
  <si>
    <t>99.51–99.54</t>
  </si>
  <si>
    <t>PGC-4.48.1</t>
  </si>
  <si>
    <t>A04C48S02</t>
  </si>
  <si>
    <t>Katiya apologizes for hiding Rayna, explains what is coming, and demands an audience with Aldrin. Aryn cuffs herself to Katiya and chooses to help her force a path through a system that refuses to listen.</t>
  </si>
  <si>
    <t>4.48.2</t>
  </si>
  <si>
    <t>99.54–99.56</t>
  </si>
  <si>
    <t>PGK-4.48.2</t>
  </si>
  <si>
    <t>A04C48S03</t>
  </si>
  <si>
    <t>Upper management asks for Cody by name, forcing Aerospace and HR into conflict over whether he is a liability or an asset. Reed becomes Cody's reluctant way up the tower, using his access to move him toward Aspen while Security tries to shut the route down.</t>
  </si>
  <si>
    <t>4.48.3</t>
  </si>
  <si>
    <t>99.56–99.59</t>
  </si>
  <si>
    <t>PGC-4.48.3</t>
  </si>
  <si>
    <t>A04C48S04</t>
  </si>
  <si>
    <t>Katiya and Aryn fight their way across the base until Erik blocks the last path to Aldrin. Katiya convinces him to let her go, and the choice costs him as much as it frees her. Katiya tackles Aldrin over his desk with the sphere and warps him to the final meet with Aliaki and Jade.</t>
  </si>
  <si>
    <t>4.48.4</t>
  </si>
  <si>
    <t>99.59–99.62</t>
  </si>
  <si>
    <t>PGK-4.48.4</t>
  </si>
  <si>
    <t>A04C48S05</t>
  </si>
  <si>
    <t>(SHORT) Cody reaches Aspen and is finally allowed to present, pulled between the company that wants him contained and the people who want to hear him speak.</t>
  </si>
  <si>
    <t>4.48.5</t>
  </si>
  <si>
    <t>99.62–99.64</t>
  </si>
  <si>
    <t>PGC-4.48.5</t>
  </si>
  <si>
    <t>A04C49S01</t>
  </si>
  <si>
    <t>Paragate</t>
  </si>
  <si>
    <t>Earlier and offscreen, Katiya brings Aldrin face-to-face with the reality of the approaching threat, and Jade and Aliaki reinforce what she has forced him to witness. When the Royal Knights arrive, Aldrin calls them off and chooses to bet on Katiya's madness being the truth.</t>
  </si>
  <si>
    <t>4.49.1</t>
  </si>
  <si>
    <t>A04C49</t>
  </si>
  <si>
    <t>99.64–99.67</t>
  </si>
  <si>
    <t>PGK-4.49.1</t>
  </si>
  <si>
    <t>A04C49S02</t>
  </si>
  <si>
    <t>Cody drives home in his suit with his father's technician shirt over it, unsure whether his presentation changed anything. What he does know is that Katiya still needs him, and that is enough to make his next decision.</t>
  </si>
  <si>
    <t>4.49.2</t>
  </si>
  <si>
    <t>99.67–99.69</t>
  </si>
  <si>
    <t>PGC-4.49.2</t>
  </si>
  <si>
    <t>A04C49S03</t>
  </si>
  <si>
    <t>With no time to be formally legitimized, Katiya throws herself into directing the defense in mixed common clothes and Guard armor. She distributes comms, coordinates with Aldrin, and begins leading people more powerful than she is.</t>
  </si>
  <si>
    <t>4.49.3</t>
  </si>
  <si>
    <t>99.69–99.72</t>
  </si>
  <si>
    <t>PGK-4.49.3</t>
  </si>
  <si>
    <t>A04C49S04</t>
  </si>
  <si>
    <t>Cody bundles himself in Jackson's old camo jacket, carries the drone into Katiya's world, and takes up overwatch from a tower. His voice over comms is shaky, but he is there, and that matters to Katiya more than she wants to admit.</t>
  </si>
  <si>
    <t>4.49.4</t>
  </si>
  <si>
    <t>99.72–99.74</t>
  </si>
  <si>
    <t>PGC-4.49.4</t>
  </si>
  <si>
    <t>A04C49S05</t>
  </si>
  <si>
    <t>Katiya executes a defense that mirrors the exam she once failed, and this time Cody's drone gives her the advantage she needs. Even as comms begin to falter in the storm, it feels for one dangerous moment like they may actually survive this.</t>
  </si>
  <si>
    <t>4.49.5</t>
  </si>
  <si>
    <t>99.74–99.77</t>
  </si>
  <si>
    <t>PGK-4.49.5</t>
  </si>
  <si>
    <t>A04C50S01</t>
  </si>
  <si>
    <t>Knightfall</t>
  </si>
  <si>
    <t>Watching the drone feed, Cody spots enemy figures crossing the lake and realizes the defenses are no longer where they need to be. When comms fail, he leaves the drone idling and runs into the storm to warn Katiya in person.</t>
  </si>
  <si>
    <t>4.50.1</t>
  </si>
  <si>
    <t>A04C50</t>
  </si>
  <si>
    <t>99.77–99.80</t>
  </si>
  <si>
    <t>PGC-4.50.1</t>
  </si>
  <si>
    <t>A04C50S02</t>
  </si>
  <si>
    <t>Katiya realizes the initial front only held because of the overwhelming strength of the bonus allies fighting there. As the Essence rifle runs dry, Cody finally reaches her on foot just as the drone crashes into the snow.</t>
  </si>
  <si>
    <t>4.50.2</t>
  </si>
  <si>
    <t>99.80–99.82</t>
  </si>
  <si>
    <t>PGK-4.50.2</t>
  </si>
  <si>
    <t>A04C50S03</t>
  </si>
  <si>
    <t>4.50.3</t>
  </si>
  <si>
    <t>99.82–99.85</t>
  </si>
  <si>
    <t>PGC-4.50.3</t>
  </si>
  <si>
    <t>A04C50S04</t>
  </si>
  <si>
    <t>4.50.4</t>
  </si>
  <si>
    <t>99.85–99.88</t>
  </si>
  <si>
    <t>PGK-4.50.4</t>
  </si>
  <si>
    <t>A04C51S01</t>
  </si>
  <si>
    <t>Daybreak</t>
  </si>
  <si>
    <t>Katiya reaches the burning district and finds Nhytyx leading the same kind of horror that defined her childhood trauma: except Endogeny is present (Firebrand). For one terrible beat she feels the old paralysis, then starts giving orders and moving anyway.</t>
  </si>
  <si>
    <t>4.51.1</t>
  </si>
  <si>
    <t>A04C51</t>
  </si>
  <si>
    <t>99.88–99.91</t>
  </si>
  <si>
    <t>PGK-4.51.1</t>
  </si>
  <si>
    <t>A04C51S02</t>
  </si>
  <si>
    <t>Cody ignores Katiya's command to leave and follows just far enough behind to matter. He makes one small but decisive assist—protecting or pulling clear the person Katiya cannot split herself to save—so she can confront the real threat.</t>
  </si>
  <si>
    <t>4.51.2</t>
  </si>
  <si>
    <t>99.91–99.93</t>
  </si>
  <si>
    <t>PGC-4.51.2</t>
  </si>
  <si>
    <t>A04C51S03</t>
  </si>
  <si>
    <t>Katiya defeats Nhytyx and saves her family in a direct mirror of the scene that once broke her. At dawn, she completes one final public action that proves to the city and to herself that she has become the protector she always wanted to be.</t>
  </si>
  <si>
    <t>4.51.3</t>
  </si>
  <si>
    <t>99.93–99.96</t>
  </si>
  <si>
    <t>PGK-4.51.3</t>
  </si>
  <si>
    <t>A05C52S01</t>
  </si>
  <si>
    <t>Parasmagate</t>
  </si>
  <si>
    <t>Cody and Katiya announce that they'll both be able to keep their respective homes, and their relationship will continue.</t>
  </si>
  <si>
    <t>5.52.1</t>
  </si>
  <si>
    <t>A05C52</t>
  </si>
  <si>
    <t>99.96–99.97</t>
  </si>
  <si>
    <t>PGC-5.52.1</t>
  </si>
  <si>
    <t>A05C53S01</t>
  </si>
  <si>
    <t>Threaded Echoes</t>
  </si>
  <si>
    <t>Default</t>
  </si>
  <si>
    <t>In the only Titus-perspective scene of the book, Ellie reveals a memory, gesture, or contradiction that should not be possible. The moment leaves Titus with the terrible understanding that her return did not close the wound—it changed it. Post-scene: Romin and Valentina return with Aliaki. Romin confronts brother Ryder.</t>
  </si>
  <si>
    <t>5.53.1</t>
  </si>
  <si>
    <t>A05C53</t>
  </si>
  <si>
    <t>99.97–100.00</t>
  </si>
  <si>
    <t>PGT-5.53.1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</si>
</sst>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00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1" xfId="0" applyFont="1" applyBorder="1" applyAlignment="1">
      <alignment horizontal="left" vertical="top"/>
    </xf>
    <xf numFmtId="0" fontId="0" fillId="0" borderId="0" xfId="0" applyAlignment="1">
      <alignment horizontal="left"/>
    </xf>
    <xf numFmtId="2" fontId="0" fillId="0" borderId="0" xfId="0" applyNumberFormat="1"/>
    <xf numFmtId="1"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61"/>
  <sheetViews>
    <sheetView tabSelected="1" workbookViewId="0">
      <pane ySplit="1" topLeftCell="A2" activePane="bottomLeft" state="frozen"/>
      <selection pane="bottomLeft" activeCell="H8" sqref="H8"/>
    </sheetView>
  </sheetViews>
  <sheetFormatPr defaultColWidth="12" defaultRowHeight="14.5" x14ac:dyDescent="0.35"/>
  <cols>
    <col min="1" max="1" width="12" style="2" customWidth="1"/>
    <col min="2" max="2" width="8" customWidth="1"/>
    <col min="3" max="3" width="10" customWidth="1"/>
    <col min="4" max="4" width="28" customWidth="1"/>
    <col min="5" max="5" width="8" customWidth="1"/>
    <col min="6" max="7" width="10" customWidth="1"/>
    <col min="8" max="8" width="72" style="4" customWidth="1"/>
    <col min="9" max="9" width="10" style="2" customWidth="1"/>
    <col min="10" max="10" width="9" style="5" customWidth="1"/>
    <col min="11" max="12" width="9" customWidth="1"/>
    <col min="13" max="13" width="11" style="5" customWidth="1"/>
    <col min="14" max="14" width="9" style="5" customWidth="1"/>
    <col min="15" max="15" width="10" customWidth="1"/>
    <col min="16" max="16" width="26" style="4" customWidth="1"/>
    <col min="17" max="17" width="8" style="2" customWidth="1"/>
    <col min="18" max="22" width="8" customWidth="1"/>
    <col min="23" max="25" width="11" customWidth="1"/>
    <col min="26" max="26" width="32" customWidth="1"/>
    <col min="27" max="27" width="14" customWidth="1"/>
    <col min="28" max="28" width="11" customWidth="1"/>
    <col min="29" max="29" width="26" customWidth="1"/>
    <col min="30" max="30" width="12" style="2" customWidth="1"/>
    <col min="31" max="31" width="10" customWidth="1"/>
    <col min="32" max="32" width="30" customWidth="1"/>
    <col min="33" max="33" width="9" customWidth="1"/>
    <col min="34" max="34" width="11" customWidth="1"/>
    <col min="35" max="38" width="8" customWidth="1"/>
    <col min="39" max="42" width="11" customWidth="1"/>
    <col min="43" max="43" width="16" customWidth="1"/>
    <col min="44" max="44" width="14" customWidth="1"/>
    <col min="45" max="45" width="12" customWidth="1"/>
    <col min="46" max="16384" width="12" style="2"/>
  </cols>
  <sheetData>
    <row r="1" spans="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35">
      <c r="A2" t="s">
        <v>45</v>
      </c>
      <c r="B2">
        <v>1</v>
      </c>
      <c r="C2">
        <v>1</v>
      </c>
      <c r="D2" t="s">
        <v>46</v>
      </c>
      <c r="E2">
        <v>1</v>
      </c>
      <c r="F2" t="s">
        <v>47</v>
      </c>
      <c r="G2" s="6">
        <v>1859</v>
      </c>
      <c r="H2" t="s">
        <v>48</v>
      </c>
      <c r="I2" t="s">
        <v>49</v>
      </c>
      <c r="J2" s="5">
        <f t="shared" ref="J2:J33" si="0">ROUND(T2/10,2)</f>
        <v>2.8</v>
      </c>
      <c r="K2" s="5">
        <f t="shared" ref="K2:K33" si="1">ROUND(U2/10,2)</f>
        <v>4.5999999999999996</v>
      </c>
      <c r="L2" s="5">
        <f t="shared" ref="L2:L33" si="2">ROUND(V2/10,2)</f>
        <v>4.2</v>
      </c>
      <c r="M2" s="5">
        <v>-0.2</v>
      </c>
      <c r="N2" s="5">
        <f t="shared" ref="N2:N33" si="3">ROUND(J2+K2+L2,2)</f>
        <v>11.6</v>
      </c>
      <c r="P2"/>
      <c r="Q2" s="7">
        <v>28</v>
      </c>
      <c r="R2" s="7">
        <v>46</v>
      </c>
      <c r="S2" s="7">
        <v>42</v>
      </c>
      <c r="T2" s="7">
        <v>28</v>
      </c>
      <c r="U2" s="7">
        <v>46</v>
      </c>
      <c r="V2" s="7">
        <v>42</v>
      </c>
      <c r="W2" t="s">
        <v>50</v>
      </c>
      <c r="X2" t="s">
        <v>51</v>
      </c>
      <c r="Y2" t="s">
        <v>51</v>
      </c>
      <c r="Z2" t="s">
        <v>52</v>
      </c>
      <c r="AA2" s="5">
        <f t="shared" ref="AA2:AA33" si="4">ROUND(V2*M2,2)</f>
        <v>-8.4</v>
      </c>
      <c r="AB2" s="5">
        <f t="shared" ref="AB2:AB33" si="5">T2+U2+V2</f>
        <v>116</v>
      </c>
      <c r="AC2" t="s">
        <v>53</v>
      </c>
      <c r="AD2" t="s">
        <v>54</v>
      </c>
      <c r="AE2" s="8">
        <v>5.9273288439955106E-3</v>
      </c>
      <c r="AF2" t="s">
        <v>55</v>
      </c>
      <c r="AG2" s="5">
        <f t="shared" ref="AG2:AG33" si="6">ROUND(AK2/10,2)</f>
        <v>5.2</v>
      </c>
      <c r="AH2" s="5">
        <f t="shared" ref="AH2:AH33" si="7">ROUND(AL2/10,2)</f>
        <v>1.2</v>
      </c>
      <c r="AI2" s="7">
        <v>52</v>
      </c>
      <c r="AJ2" s="7">
        <v>12</v>
      </c>
      <c r="AK2" s="7">
        <v>52</v>
      </c>
      <c r="AL2" s="7">
        <v>12</v>
      </c>
      <c r="AM2" t="s">
        <v>51</v>
      </c>
      <c r="AN2" t="s">
        <v>50</v>
      </c>
      <c r="AO2" s="5">
        <f t="shared" ref="AO2:AO33" si="8">ROUND(0.75*AK2+0.25*AL2,2)</f>
        <v>42</v>
      </c>
      <c r="AP2" s="5">
        <f t="shared" ref="AP2:AP33" si="9">ROUND(0.55*AB2+0.45*AO2+0.3*(AB2*AO2/100),2)</f>
        <v>97.32</v>
      </c>
      <c r="AQ2" s="5">
        <v>-8.4</v>
      </c>
      <c r="AR2" s="8" t="s">
        <v>56</v>
      </c>
      <c r="AS2" t="s">
        <v>57</v>
      </c>
    </row>
    <row r="3" spans="1:45" x14ac:dyDescent="0.35">
      <c r="A3" t="s">
        <v>58</v>
      </c>
      <c r="B3">
        <v>1</v>
      </c>
      <c r="C3">
        <v>1</v>
      </c>
      <c r="D3" t="s">
        <v>46</v>
      </c>
      <c r="E3">
        <v>2</v>
      </c>
      <c r="F3" t="s">
        <v>47</v>
      </c>
      <c r="G3" s="6">
        <v>1497</v>
      </c>
      <c r="H3" t="s">
        <v>59</v>
      </c>
      <c r="I3" t="s">
        <v>60</v>
      </c>
      <c r="J3" s="5">
        <f t="shared" si="0"/>
        <v>6.2</v>
      </c>
      <c r="K3" s="5">
        <f t="shared" si="1"/>
        <v>5.8</v>
      </c>
      <c r="L3" s="5">
        <f t="shared" si="2"/>
        <v>5.5</v>
      </c>
      <c r="M3" s="5">
        <v>-0.1</v>
      </c>
      <c r="N3" s="5">
        <f t="shared" si="3"/>
        <v>17.5</v>
      </c>
      <c r="P3"/>
      <c r="Q3" s="7">
        <v>62</v>
      </c>
      <c r="R3" s="7">
        <v>58</v>
      </c>
      <c r="S3" s="7">
        <v>55</v>
      </c>
      <c r="T3" s="7">
        <v>62</v>
      </c>
      <c r="U3" s="7">
        <v>58</v>
      </c>
      <c r="V3" s="7">
        <v>55</v>
      </c>
      <c r="W3" t="s">
        <v>61</v>
      </c>
      <c r="X3" t="s">
        <v>51</v>
      </c>
      <c r="Y3" t="s">
        <v>51</v>
      </c>
      <c r="Z3" t="s">
        <v>52</v>
      </c>
      <c r="AA3" s="5">
        <f t="shared" si="4"/>
        <v>-5.5</v>
      </c>
      <c r="AB3" s="5">
        <f t="shared" si="5"/>
        <v>175</v>
      </c>
      <c r="AC3" t="s">
        <v>53</v>
      </c>
      <c r="AD3" t="s">
        <v>54</v>
      </c>
      <c r="AE3" s="8">
        <v>1.662776757473727E-2</v>
      </c>
      <c r="AF3" t="s">
        <v>62</v>
      </c>
      <c r="AG3" s="5">
        <f t="shared" si="6"/>
        <v>2</v>
      </c>
      <c r="AH3" s="5">
        <f t="shared" si="7"/>
        <v>0.8</v>
      </c>
      <c r="AI3" s="7">
        <v>20</v>
      </c>
      <c r="AJ3" s="7">
        <v>8</v>
      </c>
      <c r="AK3" s="7">
        <v>20</v>
      </c>
      <c r="AL3" s="7">
        <v>8</v>
      </c>
      <c r="AM3" t="s">
        <v>50</v>
      </c>
      <c r="AN3" t="s">
        <v>50</v>
      </c>
      <c r="AO3" s="5">
        <f t="shared" si="8"/>
        <v>17</v>
      </c>
      <c r="AP3" s="5">
        <f t="shared" si="9"/>
        <v>112.83</v>
      </c>
      <c r="AQ3" s="5">
        <v>-13.9</v>
      </c>
      <c r="AR3" s="8" t="s">
        <v>63</v>
      </c>
      <c r="AS3" t="s">
        <v>64</v>
      </c>
    </row>
    <row r="4" spans="1:45" x14ac:dyDescent="0.35">
      <c r="A4" t="s">
        <v>65</v>
      </c>
      <c r="B4">
        <v>1</v>
      </c>
      <c r="C4">
        <v>1</v>
      </c>
      <c r="D4" t="s">
        <v>46</v>
      </c>
      <c r="E4">
        <v>3</v>
      </c>
      <c r="F4" t="s">
        <v>47</v>
      </c>
      <c r="G4" s="6">
        <v>1273</v>
      </c>
      <c r="H4" t="s">
        <v>66</v>
      </c>
      <c r="I4" t="s">
        <v>67</v>
      </c>
      <c r="J4" s="5">
        <f t="shared" si="0"/>
        <v>3.6</v>
      </c>
      <c r="K4" s="5">
        <f t="shared" si="1"/>
        <v>5.2</v>
      </c>
      <c r="L4" s="5">
        <f t="shared" si="2"/>
        <v>6.3</v>
      </c>
      <c r="M4" s="5">
        <v>-0.05</v>
      </c>
      <c r="N4" s="5">
        <f t="shared" si="3"/>
        <v>15.1</v>
      </c>
      <c r="P4"/>
      <c r="Q4" s="7">
        <v>36</v>
      </c>
      <c r="R4" s="7">
        <v>52</v>
      </c>
      <c r="S4" s="7">
        <v>63</v>
      </c>
      <c r="T4" s="7">
        <v>36</v>
      </c>
      <c r="U4" s="7">
        <v>52</v>
      </c>
      <c r="V4" s="7">
        <v>63</v>
      </c>
      <c r="W4" t="s">
        <v>51</v>
      </c>
      <c r="X4" t="s">
        <v>51</v>
      </c>
      <c r="Y4" t="s">
        <v>61</v>
      </c>
      <c r="Z4" t="s">
        <v>52</v>
      </c>
      <c r="AA4" s="5">
        <f t="shared" si="4"/>
        <v>-3.15</v>
      </c>
      <c r="AB4" s="5">
        <f t="shared" si="5"/>
        <v>151</v>
      </c>
      <c r="AC4" t="s">
        <v>53</v>
      </c>
      <c r="AD4" t="s">
        <v>54</v>
      </c>
      <c r="AE4" s="8">
        <v>2.545977451280482E-2</v>
      </c>
      <c r="AF4" t="s">
        <v>68</v>
      </c>
      <c r="AG4" s="5">
        <f t="shared" si="6"/>
        <v>2.6</v>
      </c>
      <c r="AH4" s="5">
        <f t="shared" si="7"/>
        <v>1</v>
      </c>
      <c r="AI4" s="7">
        <v>26</v>
      </c>
      <c r="AJ4" s="7">
        <v>10</v>
      </c>
      <c r="AK4" s="7">
        <v>26</v>
      </c>
      <c r="AL4" s="7">
        <v>10</v>
      </c>
      <c r="AM4" t="s">
        <v>50</v>
      </c>
      <c r="AN4" t="s">
        <v>50</v>
      </c>
      <c r="AO4" s="5">
        <f t="shared" si="8"/>
        <v>22</v>
      </c>
      <c r="AP4" s="5">
        <f t="shared" si="9"/>
        <v>102.92</v>
      </c>
      <c r="AQ4" s="5">
        <v>-17.05</v>
      </c>
      <c r="AR4" s="8" t="s">
        <v>69</v>
      </c>
      <c r="AS4" t="s">
        <v>70</v>
      </c>
    </row>
    <row r="5" spans="1:45" x14ac:dyDescent="0.35">
      <c r="A5" t="s">
        <v>71</v>
      </c>
      <c r="B5">
        <v>1</v>
      </c>
      <c r="C5">
        <v>1</v>
      </c>
      <c r="D5" t="s">
        <v>46</v>
      </c>
      <c r="E5">
        <v>4</v>
      </c>
      <c r="F5" t="s">
        <v>47</v>
      </c>
      <c r="G5" s="6">
        <v>403</v>
      </c>
      <c r="H5" t="s">
        <v>72</v>
      </c>
      <c r="I5" t="s">
        <v>73</v>
      </c>
      <c r="J5" s="5">
        <f t="shared" si="0"/>
        <v>3</v>
      </c>
      <c r="K5" s="5">
        <f t="shared" si="1"/>
        <v>6.1</v>
      </c>
      <c r="L5" s="5">
        <f t="shared" si="2"/>
        <v>7</v>
      </c>
      <c r="M5" s="5">
        <v>-0.3</v>
      </c>
      <c r="N5" s="5">
        <f t="shared" si="3"/>
        <v>16.100000000000001</v>
      </c>
      <c r="P5"/>
      <c r="Q5" s="7">
        <v>30</v>
      </c>
      <c r="R5" s="7">
        <v>61</v>
      </c>
      <c r="S5" s="7">
        <v>70</v>
      </c>
      <c r="T5" s="7">
        <v>30</v>
      </c>
      <c r="U5" s="7">
        <v>61</v>
      </c>
      <c r="V5" s="7">
        <v>70</v>
      </c>
      <c r="W5" t="s">
        <v>50</v>
      </c>
      <c r="X5" t="s">
        <v>61</v>
      </c>
      <c r="Y5" t="s">
        <v>61</v>
      </c>
      <c r="Z5" t="s">
        <v>52</v>
      </c>
      <c r="AA5" s="5">
        <f t="shared" si="4"/>
        <v>-21</v>
      </c>
      <c r="AB5" s="5">
        <f t="shared" si="5"/>
        <v>161</v>
      </c>
      <c r="AC5" t="s">
        <v>53</v>
      </c>
      <c r="AD5" t="s">
        <v>54</v>
      </c>
      <c r="AE5" s="8">
        <v>3.08036169778594E-2</v>
      </c>
      <c r="AF5" t="s">
        <v>74</v>
      </c>
      <c r="AG5" s="5">
        <f t="shared" si="6"/>
        <v>5.8</v>
      </c>
      <c r="AH5" s="5">
        <f t="shared" si="7"/>
        <v>2.4</v>
      </c>
      <c r="AI5" s="7">
        <v>58</v>
      </c>
      <c r="AJ5" s="7">
        <v>24</v>
      </c>
      <c r="AK5" s="7">
        <v>58</v>
      </c>
      <c r="AL5" s="7">
        <v>24</v>
      </c>
      <c r="AM5" t="s">
        <v>51</v>
      </c>
      <c r="AN5" t="s">
        <v>50</v>
      </c>
      <c r="AO5" s="5">
        <f t="shared" si="8"/>
        <v>49.5</v>
      </c>
      <c r="AP5" s="5">
        <f t="shared" si="9"/>
        <v>134.72999999999999</v>
      </c>
      <c r="AQ5" s="5">
        <v>-38.049999999999997</v>
      </c>
      <c r="AR5" s="8" t="s">
        <v>75</v>
      </c>
      <c r="AS5" t="s">
        <v>76</v>
      </c>
    </row>
    <row r="6" spans="1:45" x14ac:dyDescent="0.35">
      <c r="A6" t="s">
        <v>77</v>
      </c>
      <c r="B6">
        <v>1</v>
      </c>
      <c r="C6">
        <v>2</v>
      </c>
      <c r="D6" t="s">
        <v>78</v>
      </c>
      <c r="E6">
        <v>1</v>
      </c>
      <c r="F6" t="s">
        <v>79</v>
      </c>
      <c r="G6" s="6">
        <v>1188</v>
      </c>
      <c r="H6" t="s">
        <v>80</v>
      </c>
      <c r="I6" t="s">
        <v>81</v>
      </c>
      <c r="J6" s="5">
        <f t="shared" si="0"/>
        <v>1.2</v>
      </c>
      <c r="K6" s="5">
        <f t="shared" si="1"/>
        <v>5.5</v>
      </c>
      <c r="L6" s="5">
        <f t="shared" si="2"/>
        <v>5.4</v>
      </c>
      <c r="M6" s="5">
        <v>-0.15</v>
      </c>
      <c r="N6" s="5">
        <f t="shared" si="3"/>
        <v>12.1</v>
      </c>
      <c r="P6"/>
      <c r="Q6" s="7">
        <v>12</v>
      </c>
      <c r="R6" s="7">
        <v>55</v>
      </c>
      <c r="S6" s="7">
        <v>54</v>
      </c>
      <c r="T6" s="7">
        <v>12</v>
      </c>
      <c r="U6" s="7">
        <v>55</v>
      </c>
      <c r="V6" s="7">
        <v>54</v>
      </c>
      <c r="W6" t="s">
        <v>50</v>
      </c>
      <c r="X6" t="s">
        <v>51</v>
      </c>
      <c r="Y6" t="s">
        <v>51</v>
      </c>
      <c r="Z6" t="s">
        <v>52</v>
      </c>
      <c r="AA6" s="5">
        <f t="shared" si="4"/>
        <v>-8.1</v>
      </c>
      <c r="AB6" s="5">
        <f t="shared" si="5"/>
        <v>121</v>
      </c>
      <c r="AC6" t="s">
        <v>53</v>
      </c>
      <c r="AD6" t="s">
        <v>82</v>
      </c>
      <c r="AE6" s="8">
        <v>3.5876441179471481E-2</v>
      </c>
      <c r="AF6" t="s">
        <v>83</v>
      </c>
      <c r="AG6" s="5">
        <f t="shared" si="6"/>
        <v>3.4</v>
      </c>
      <c r="AH6" s="5">
        <f t="shared" si="7"/>
        <v>1</v>
      </c>
      <c r="AI6" s="7">
        <v>34</v>
      </c>
      <c r="AJ6" s="7">
        <v>10</v>
      </c>
      <c r="AK6" s="7">
        <v>34</v>
      </c>
      <c r="AL6" s="7">
        <v>10</v>
      </c>
      <c r="AM6" t="s">
        <v>51</v>
      </c>
      <c r="AN6" t="s">
        <v>50</v>
      </c>
      <c r="AO6" s="5">
        <f t="shared" si="8"/>
        <v>28</v>
      </c>
      <c r="AP6" s="5">
        <f t="shared" si="9"/>
        <v>89.31</v>
      </c>
      <c r="AQ6" s="5">
        <v>-46.15</v>
      </c>
      <c r="AR6" s="8" t="s">
        <v>84</v>
      </c>
      <c r="AS6" t="s">
        <v>85</v>
      </c>
    </row>
    <row r="7" spans="1:45" x14ac:dyDescent="0.35">
      <c r="A7" t="s">
        <v>86</v>
      </c>
      <c r="B7">
        <v>1</v>
      </c>
      <c r="C7">
        <v>2</v>
      </c>
      <c r="D7" t="s">
        <v>78</v>
      </c>
      <c r="E7">
        <v>2</v>
      </c>
      <c r="F7" t="s">
        <v>79</v>
      </c>
      <c r="G7" s="6">
        <v>1112</v>
      </c>
      <c r="H7" t="s">
        <v>87</v>
      </c>
      <c r="I7" t="s">
        <v>88</v>
      </c>
      <c r="J7" s="5">
        <f t="shared" si="0"/>
        <v>1.8</v>
      </c>
      <c r="K7" s="5">
        <f t="shared" si="1"/>
        <v>4.4000000000000004</v>
      </c>
      <c r="L7" s="5">
        <f t="shared" si="2"/>
        <v>4.9000000000000004</v>
      </c>
      <c r="M7" s="5">
        <v>-0.05</v>
      </c>
      <c r="N7" s="5">
        <f t="shared" si="3"/>
        <v>11.1</v>
      </c>
      <c r="P7"/>
      <c r="Q7" s="7">
        <v>18</v>
      </c>
      <c r="R7" s="7">
        <v>44</v>
      </c>
      <c r="S7" s="7">
        <v>49</v>
      </c>
      <c r="T7" s="7">
        <v>18</v>
      </c>
      <c r="U7" s="7">
        <v>44</v>
      </c>
      <c r="V7" s="7">
        <v>49</v>
      </c>
      <c r="W7" t="s">
        <v>50</v>
      </c>
      <c r="X7" t="s">
        <v>51</v>
      </c>
      <c r="Y7" t="s">
        <v>51</v>
      </c>
      <c r="Z7" t="s">
        <v>52</v>
      </c>
      <c r="AA7" s="5">
        <f t="shared" si="4"/>
        <v>-2.4500000000000002</v>
      </c>
      <c r="AB7" s="5">
        <f t="shared" si="5"/>
        <v>111</v>
      </c>
      <c r="AC7" t="s">
        <v>53</v>
      </c>
      <c r="AD7" t="s">
        <v>82</v>
      </c>
      <c r="AE7" s="8">
        <v>4.3209876543209867E-2</v>
      </c>
      <c r="AF7" t="s">
        <v>89</v>
      </c>
      <c r="AG7" s="5">
        <f t="shared" si="6"/>
        <v>2</v>
      </c>
      <c r="AH7" s="5">
        <f t="shared" si="7"/>
        <v>0.4</v>
      </c>
      <c r="AI7" s="7">
        <v>20</v>
      </c>
      <c r="AJ7" s="7">
        <v>4</v>
      </c>
      <c r="AK7" s="7">
        <v>20</v>
      </c>
      <c r="AL7" s="7">
        <v>4</v>
      </c>
      <c r="AM7" t="s">
        <v>50</v>
      </c>
      <c r="AN7" t="s">
        <v>50</v>
      </c>
      <c r="AO7" s="5">
        <f t="shared" si="8"/>
        <v>16</v>
      </c>
      <c r="AP7" s="5">
        <f t="shared" si="9"/>
        <v>73.58</v>
      </c>
      <c r="AQ7" s="5">
        <v>-48.6</v>
      </c>
      <c r="AR7" s="8" t="s">
        <v>90</v>
      </c>
      <c r="AS7" t="s">
        <v>91</v>
      </c>
    </row>
    <row r="8" spans="1:45" x14ac:dyDescent="0.35">
      <c r="A8" t="s">
        <v>92</v>
      </c>
      <c r="B8">
        <v>1</v>
      </c>
      <c r="C8">
        <v>2</v>
      </c>
      <c r="D8" t="s">
        <v>78</v>
      </c>
      <c r="E8">
        <v>3</v>
      </c>
      <c r="F8" t="s">
        <v>79</v>
      </c>
      <c r="G8" s="6">
        <v>1148</v>
      </c>
      <c r="H8" t="s">
        <v>93</v>
      </c>
      <c r="I8" t="s">
        <v>94</v>
      </c>
      <c r="J8" s="5">
        <f t="shared" si="0"/>
        <v>1.4</v>
      </c>
      <c r="K8" s="5">
        <f t="shared" si="1"/>
        <v>6.3</v>
      </c>
      <c r="L8" s="5">
        <f t="shared" si="2"/>
        <v>5.7</v>
      </c>
      <c r="M8" s="5">
        <v>-0.2</v>
      </c>
      <c r="N8" s="5">
        <f t="shared" si="3"/>
        <v>13.4</v>
      </c>
      <c r="P8"/>
      <c r="Q8" s="7">
        <v>14</v>
      </c>
      <c r="R8" s="7">
        <v>63</v>
      </c>
      <c r="S8" s="7">
        <v>57</v>
      </c>
      <c r="T8" s="7">
        <v>14</v>
      </c>
      <c r="U8" s="7">
        <v>63</v>
      </c>
      <c r="V8" s="7">
        <v>57</v>
      </c>
      <c r="W8" t="s">
        <v>50</v>
      </c>
      <c r="X8" t="s">
        <v>61</v>
      </c>
      <c r="Y8" t="s">
        <v>51</v>
      </c>
      <c r="Z8" t="s">
        <v>52</v>
      </c>
      <c r="AA8" s="5">
        <f t="shared" si="4"/>
        <v>-11.4</v>
      </c>
      <c r="AB8" s="5">
        <f t="shared" si="5"/>
        <v>134</v>
      </c>
      <c r="AC8" t="s">
        <v>53</v>
      </c>
      <c r="AD8" t="s">
        <v>82</v>
      </c>
      <c r="AE8" s="8">
        <v>5.0415773900622393E-2</v>
      </c>
      <c r="AF8" t="s">
        <v>95</v>
      </c>
      <c r="AG8" s="5">
        <f t="shared" si="6"/>
        <v>6.4</v>
      </c>
      <c r="AH8" s="5">
        <f t="shared" si="7"/>
        <v>4.8</v>
      </c>
      <c r="AI8" s="7">
        <v>64</v>
      </c>
      <c r="AJ8" s="7">
        <v>48</v>
      </c>
      <c r="AK8" s="7">
        <v>64</v>
      </c>
      <c r="AL8" s="7">
        <v>48</v>
      </c>
      <c r="AM8" t="s">
        <v>61</v>
      </c>
      <c r="AN8" t="s">
        <v>51</v>
      </c>
      <c r="AO8" s="5">
        <f t="shared" si="8"/>
        <v>60</v>
      </c>
      <c r="AP8" s="5">
        <f t="shared" si="9"/>
        <v>124.82</v>
      </c>
      <c r="AQ8" s="5">
        <v>-60</v>
      </c>
      <c r="AR8" s="8" t="s">
        <v>96</v>
      </c>
      <c r="AS8" t="s">
        <v>97</v>
      </c>
    </row>
    <row r="9" spans="1:45" x14ac:dyDescent="0.35">
      <c r="A9" t="s">
        <v>98</v>
      </c>
      <c r="B9">
        <v>1</v>
      </c>
      <c r="C9">
        <v>3</v>
      </c>
      <c r="D9" t="s">
        <v>99</v>
      </c>
      <c r="E9">
        <v>1</v>
      </c>
      <c r="F9" t="s">
        <v>47</v>
      </c>
      <c r="G9" s="6">
        <v>1168</v>
      </c>
      <c r="H9" t="s">
        <v>100</v>
      </c>
      <c r="I9" t="s">
        <v>101</v>
      </c>
      <c r="J9" s="5">
        <f t="shared" si="0"/>
        <v>1</v>
      </c>
      <c r="K9" s="5">
        <f t="shared" si="1"/>
        <v>5.8</v>
      </c>
      <c r="L9" s="5">
        <f t="shared" si="2"/>
        <v>6.1</v>
      </c>
      <c r="M9" s="5">
        <v>-0.35</v>
      </c>
      <c r="N9" s="5">
        <f t="shared" si="3"/>
        <v>12.9</v>
      </c>
      <c r="P9"/>
      <c r="Q9" s="7">
        <v>10</v>
      </c>
      <c r="R9" s="7">
        <v>58</v>
      </c>
      <c r="S9" s="7">
        <v>61</v>
      </c>
      <c r="T9" s="7">
        <v>10</v>
      </c>
      <c r="U9" s="7">
        <v>58</v>
      </c>
      <c r="V9" s="7">
        <v>61</v>
      </c>
      <c r="W9" t="s">
        <v>50</v>
      </c>
      <c r="X9" t="s">
        <v>51</v>
      </c>
      <c r="Y9" t="s">
        <v>61</v>
      </c>
      <c r="Z9" t="s">
        <v>102</v>
      </c>
      <c r="AA9" s="5">
        <f t="shared" si="4"/>
        <v>-21.35</v>
      </c>
      <c r="AB9" s="5">
        <f t="shared" si="5"/>
        <v>129</v>
      </c>
      <c r="AC9" t="s">
        <v>53</v>
      </c>
      <c r="AD9" t="s">
        <v>103</v>
      </c>
      <c r="AE9" s="8">
        <v>5.7800224466891127E-2</v>
      </c>
      <c r="AF9" t="s">
        <v>104</v>
      </c>
      <c r="AG9" s="5">
        <f t="shared" si="6"/>
        <v>3</v>
      </c>
      <c r="AH9" s="5">
        <f t="shared" si="7"/>
        <v>0.6</v>
      </c>
      <c r="AI9" s="7">
        <v>30</v>
      </c>
      <c r="AJ9" s="7">
        <v>6</v>
      </c>
      <c r="AK9" s="7">
        <v>30</v>
      </c>
      <c r="AL9" s="7">
        <v>6</v>
      </c>
      <c r="AM9" t="s">
        <v>50</v>
      </c>
      <c r="AN9" t="s">
        <v>50</v>
      </c>
      <c r="AO9" s="5">
        <f t="shared" si="8"/>
        <v>24</v>
      </c>
      <c r="AP9" s="5">
        <f t="shared" si="9"/>
        <v>91.04</v>
      </c>
      <c r="AQ9" s="5">
        <v>-81.349999999999994</v>
      </c>
      <c r="AR9" s="8" t="s">
        <v>105</v>
      </c>
      <c r="AS9" t="s">
        <v>106</v>
      </c>
    </row>
    <row r="10" spans="1:45" x14ac:dyDescent="0.35">
      <c r="A10" t="s">
        <v>107</v>
      </c>
      <c r="B10">
        <v>1</v>
      </c>
      <c r="C10">
        <v>3</v>
      </c>
      <c r="D10" t="s">
        <v>99</v>
      </c>
      <c r="E10">
        <v>2</v>
      </c>
      <c r="F10" t="s">
        <v>47</v>
      </c>
      <c r="G10" s="6">
        <v>1747</v>
      </c>
      <c r="H10" t="s">
        <v>108</v>
      </c>
      <c r="I10" t="s">
        <v>109</v>
      </c>
      <c r="J10" s="5">
        <f t="shared" si="0"/>
        <v>1.6</v>
      </c>
      <c r="K10" s="5">
        <f t="shared" si="1"/>
        <v>6.6</v>
      </c>
      <c r="L10" s="5">
        <f t="shared" si="2"/>
        <v>6.4</v>
      </c>
      <c r="M10" s="5">
        <v>-0.3</v>
      </c>
      <c r="N10" s="5">
        <f t="shared" si="3"/>
        <v>14.6</v>
      </c>
      <c r="P10"/>
      <c r="Q10" s="7">
        <v>16</v>
      </c>
      <c r="R10" s="7">
        <v>66</v>
      </c>
      <c r="S10" s="7">
        <v>64</v>
      </c>
      <c r="T10" s="7">
        <v>16</v>
      </c>
      <c r="U10" s="7">
        <v>66</v>
      </c>
      <c r="V10" s="7">
        <v>64</v>
      </c>
      <c r="W10" t="s">
        <v>50</v>
      </c>
      <c r="X10" t="s">
        <v>61</v>
      </c>
      <c r="Y10" t="s">
        <v>61</v>
      </c>
      <c r="Z10" t="s">
        <v>52</v>
      </c>
      <c r="AA10" s="5">
        <f t="shared" si="4"/>
        <v>-19.2</v>
      </c>
      <c r="AB10" s="5">
        <f t="shared" si="5"/>
        <v>146</v>
      </c>
      <c r="AC10" t="s">
        <v>53</v>
      </c>
      <c r="AD10" t="s">
        <v>103</v>
      </c>
      <c r="AE10" s="8">
        <v>6.7094556677890008E-2</v>
      </c>
      <c r="AF10" t="s">
        <v>110</v>
      </c>
      <c r="AG10" s="5">
        <f t="shared" si="6"/>
        <v>4</v>
      </c>
      <c r="AH10" s="5">
        <f t="shared" si="7"/>
        <v>1.8</v>
      </c>
      <c r="AI10" s="7">
        <v>40</v>
      </c>
      <c r="AJ10" s="7">
        <v>18</v>
      </c>
      <c r="AK10" s="7">
        <v>40</v>
      </c>
      <c r="AL10" s="7">
        <v>18</v>
      </c>
      <c r="AM10" t="s">
        <v>51</v>
      </c>
      <c r="AN10" t="s">
        <v>50</v>
      </c>
      <c r="AO10" s="5">
        <f t="shared" si="8"/>
        <v>34.5</v>
      </c>
      <c r="AP10" s="5">
        <f t="shared" si="9"/>
        <v>110.94</v>
      </c>
      <c r="AQ10" s="5">
        <v>-100.55</v>
      </c>
      <c r="AR10" s="8" t="s">
        <v>111</v>
      </c>
      <c r="AS10" t="s">
        <v>112</v>
      </c>
    </row>
    <row r="11" spans="1:45" x14ac:dyDescent="0.35">
      <c r="A11" t="s">
        <v>113</v>
      </c>
      <c r="B11">
        <v>1</v>
      </c>
      <c r="C11">
        <v>3</v>
      </c>
      <c r="D11" t="s">
        <v>99</v>
      </c>
      <c r="E11">
        <v>3</v>
      </c>
      <c r="F11" t="s">
        <v>47</v>
      </c>
      <c r="G11" s="6">
        <v>1360</v>
      </c>
      <c r="H11" t="s">
        <v>114</v>
      </c>
      <c r="I11" t="s">
        <v>115</v>
      </c>
      <c r="J11" s="5">
        <f t="shared" si="0"/>
        <v>1.2</v>
      </c>
      <c r="K11" s="5">
        <f t="shared" si="1"/>
        <v>6.2</v>
      </c>
      <c r="L11" s="5">
        <f t="shared" si="2"/>
        <v>5.9</v>
      </c>
      <c r="M11" s="5">
        <v>-0.4</v>
      </c>
      <c r="N11" s="5">
        <f t="shared" si="3"/>
        <v>13.3</v>
      </c>
      <c r="P11"/>
      <c r="Q11" s="7">
        <v>12</v>
      </c>
      <c r="R11" s="7">
        <v>62</v>
      </c>
      <c r="S11" s="7">
        <v>59</v>
      </c>
      <c r="T11" s="7">
        <v>12</v>
      </c>
      <c r="U11" s="7">
        <v>62</v>
      </c>
      <c r="V11" s="7">
        <v>59</v>
      </c>
      <c r="W11" t="s">
        <v>50</v>
      </c>
      <c r="X11" t="s">
        <v>61</v>
      </c>
      <c r="Y11" t="s">
        <v>51</v>
      </c>
      <c r="Z11" t="s">
        <v>102</v>
      </c>
      <c r="AA11" s="5">
        <f t="shared" si="4"/>
        <v>-23.6</v>
      </c>
      <c r="AB11" s="5">
        <f t="shared" si="5"/>
        <v>133</v>
      </c>
      <c r="AC11" t="s">
        <v>53</v>
      </c>
      <c r="AD11" t="s">
        <v>103</v>
      </c>
      <c r="AE11" s="8">
        <v>7.7001071319253142E-2</v>
      </c>
      <c r="AF11" t="s">
        <v>116</v>
      </c>
      <c r="AG11" s="5">
        <f t="shared" si="6"/>
        <v>5.6</v>
      </c>
      <c r="AH11" s="5">
        <f t="shared" si="7"/>
        <v>0.8</v>
      </c>
      <c r="AI11" s="7">
        <v>56</v>
      </c>
      <c r="AJ11" s="7">
        <v>8</v>
      </c>
      <c r="AK11" s="7">
        <v>56</v>
      </c>
      <c r="AL11" s="7">
        <v>8</v>
      </c>
      <c r="AM11" t="s">
        <v>51</v>
      </c>
      <c r="AN11" t="s">
        <v>50</v>
      </c>
      <c r="AO11" s="5">
        <f t="shared" si="8"/>
        <v>44</v>
      </c>
      <c r="AP11" s="5">
        <f t="shared" si="9"/>
        <v>110.51</v>
      </c>
      <c r="AQ11" s="5">
        <v>-124.15</v>
      </c>
      <c r="AR11" s="8" t="s">
        <v>117</v>
      </c>
      <c r="AS11" t="s">
        <v>118</v>
      </c>
    </row>
    <row r="12" spans="1:45" x14ac:dyDescent="0.35">
      <c r="A12" t="s">
        <v>119</v>
      </c>
      <c r="B12">
        <v>1</v>
      </c>
      <c r="C12">
        <v>4</v>
      </c>
      <c r="D12" t="s">
        <v>120</v>
      </c>
      <c r="E12">
        <v>1</v>
      </c>
      <c r="F12" t="s">
        <v>79</v>
      </c>
      <c r="G12" s="6">
        <v>386</v>
      </c>
      <c r="H12" t="s">
        <v>121</v>
      </c>
      <c r="I12" t="s">
        <v>122</v>
      </c>
      <c r="J12" s="5">
        <f t="shared" si="0"/>
        <v>5.4</v>
      </c>
      <c r="K12" s="5">
        <f t="shared" si="1"/>
        <v>8.1999999999999993</v>
      </c>
      <c r="L12" s="5">
        <f t="shared" si="2"/>
        <v>7.8</v>
      </c>
      <c r="M12" s="5">
        <v>-0.45</v>
      </c>
      <c r="N12" s="5">
        <f t="shared" si="3"/>
        <v>21.4</v>
      </c>
      <c r="P12"/>
      <c r="Q12" s="7">
        <v>54</v>
      </c>
      <c r="R12" s="7">
        <v>82</v>
      </c>
      <c r="S12" s="7">
        <v>78</v>
      </c>
      <c r="T12" s="7">
        <v>54</v>
      </c>
      <c r="U12" s="7">
        <v>82</v>
      </c>
      <c r="V12" s="7">
        <v>78</v>
      </c>
      <c r="W12" t="s">
        <v>51</v>
      </c>
      <c r="X12" t="s">
        <v>61</v>
      </c>
      <c r="Y12" t="s">
        <v>61</v>
      </c>
      <c r="Z12" t="s">
        <v>102</v>
      </c>
      <c r="AA12" s="5">
        <f t="shared" si="4"/>
        <v>-35.1</v>
      </c>
      <c r="AB12" s="5">
        <f t="shared" si="5"/>
        <v>214</v>
      </c>
      <c r="AC12" t="s">
        <v>53</v>
      </c>
      <c r="AD12" t="s">
        <v>123</v>
      </c>
      <c r="AE12" s="8">
        <v>8.2568105295378016E-2</v>
      </c>
      <c r="AF12" t="s">
        <v>124</v>
      </c>
      <c r="AG12" s="5">
        <f t="shared" si="6"/>
        <v>4.5999999999999996</v>
      </c>
      <c r="AH12" s="5">
        <f t="shared" si="7"/>
        <v>0.6</v>
      </c>
      <c r="AI12" s="7">
        <v>46</v>
      </c>
      <c r="AJ12" s="7">
        <v>6</v>
      </c>
      <c r="AK12" s="7">
        <v>46</v>
      </c>
      <c r="AL12" s="7">
        <v>6</v>
      </c>
      <c r="AM12" t="s">
        <v>51</v>
      </c>
      <c r="AN12" t="s">
        <v>50</v>
      </c>
      <c r="AO12" s="5">
        <f t="shared" si="8"/>
        <v>36</v>
      </c>
      <c r="AP12" s="5">
        <f t="shared" si="9"/>
        <v>157.01</v>
      </c>
      <c r="AQ12" s="5">
        <v>-159.25</v>
      </c>
      <c r="AR12" s="8" t="s">
        <v>125</v>
      </c>
      <c r="AS12" t="s">
        <v>126</v>
      </c>
    </row>
    <row r="13" spans="1:45" x14ac:dyDescent="0.35">
      <c r="A13" t="s">
        <v>127</v>
      </c>
      <c r="B13">
        <v>1</v>
      </c>
      <c r="C13">
        <v>4</v>
      </c>
      <c r="D13" t="s">
        <v>120</v>
      </c>
      <c r="E13">
        <v>2</v>
      </c>
      <c r="F13" t="s">
        <v>79</v>
      </c>
      <c r="G13" s="6">
        <v>1413</v>
      </c>
      <c r="H13" t="s">
        <v>128</v>
      </c>
      <c r="I13" t="s">
        <v>129</v>
      </c>
      <c r="J13" s="5">
        <f t="shared" si="0"/>
        <v>1</v>
      </c>
      <c r="K13" s="5">
        <f t="shared" si="1"/>
        <v>6.7</v>
      </c>
      <c r="L13" s="5">
        <f t="shared" si="2"/>
        <v>6.8</v>
      </c>
      <c r="M13" s="5">
        <v>-0.35</v>
      </c>
      <c r="N13" s="5">
        <f t="shared" si="3"/>
        <v>14.5</v>
      </c>
      <c r="P13"/>
      <c r="Q13" s="7">
        <v>10</v>
      </c>
      <c r="R13" s="7">
        <v>67</v>
      </c>
      <c r="S13" s="7">
        <v>68</v>
      </c>
      <c r="T13" s="7">
        <v>10</v>
      </c>
      <c r="U13" s="7">
        <v>67</v>
      </c>
      <c r="V13" s="7">
        <v>68</v>
      </c>
      <c r="W13" t="s">
        <v>50</v>
      </c>
      <c r="X13" t="s">
        <v>61</v>
      </c>
      <c r="Y13" t="s">
        <v>61</v>
      </c>
      <c r="Z13" t="s">
        <v>102</v>
      </c>
      <c r="AA13" s="5">
        <f t="shared" si="4"/>
        <v>-23.8</v>
      </c>
      <c r="AB13" s="5">
        <f t="shared" si="5"/>
        <v>145</v>
      </c>
      <c r="AC13" t="s">
        <v>53</v>
      </c>
      <c r="AD13" t="s">
        <v>123</v>
      </c>
      <c r="AE13" s="8">
        <v>8.830412712988471E-2</v>
      </c>
      <c r="AF13" t="s">
        <v>130</v>
      </c>
      <c r="AG13" s="5">
        <f t="shared" si="6"/>
        <v>3.2</v>
      </c>
      <c r="AH13" s="5">
        <f t="shared" si="7"/>
        <v>0.4</v>
      </c>
      <c r="AI13" s="7">
        <v>32</v>
      </c>
      <c r="AJ13" s="7">
        <v>4</v>
      </c>
      <c r="AK13" s="7">
        <v>32</v>
      </c>
      <c r="AL13" s="7">
        <v>4</v>
      </c>
      <c r="AM13" t="s">
        <v>51</v>
      </c>
      <c r="AN13" t="s">
        <v>50</v>
      </c>
      <c r="AO13" s="5">
        <f t="shared" si="8"/>
        <v>25</v>
      </c>
      <c r="AP13" s="5">
        <f t="shared" si="9"/>
        <v>101.88</v>
      </c>
      <c r="AQ13" s="5">
        <v>-183.05</v>
      </c>
      <c r="AR13" s="8" t="s">
        <v>131</v>
      </c>
      <c r="AS13" t="s">
        <v>132</v>
      </c>
    </row>
    <row r="14" spans="1:45" x14ac:dyDescent="0.35">
      <c r="A14" t="s">
        <v>133</v>
      </c>
      <c r="B14">
        <v>1</v>
      </c>
      <c r="C14">
        <v>4</v>
      </c>
      <c r="D14" t="s">
        <v>120</v>
      </c>
      <c r="E14">
        <v>3</v>
      </c>
      <c r="F14" t="s">
        <v>79</v>
      </c>
      <c r="G14" s="6">
        <v>1244</v>
      </c>
      <c r="H14" t="s">
        <v>134</v>
      </c>
      <c r="I14" t="s">
        <v>135</v>
      </c>
      <c r="J14" s="5">
        <f t="shared" si="0"/>
        <v>1.8</v>
      </c>
      <c r="K14" s="5">
        <f t="shared" si="1"/>
        <v>5.2</v>
      </c>
      <c r="L14" s="5">
        <f t="shared" si="2"/>
        <v>5.6</v>
      </c>
      <c r="M14" s="5">
        <v>-0.2</v>
      </c>
      <c r="N14" s="5">
        <f t="shared" si="3"/>
        <v>12.6</v>
      </c>
      <c r="P14"/>
      <c r="Q14" s="7">
        <v>18</v>
      </c>
      <c r="R14" s="7">
        <v>52</v>
      </c>
      <c r="S14" s="7">
        <v>56</v>
      </c>
      <c r="T14" s="7">
        <v>18</v>
      </c>
      <c r="U14" s="7">
        <v>52</v>
      </c>
      <c r="V14" s="7">
        <v>56</v>
      </c>
      <c r="W14" t="s">
        <v>50</v>
      </c>
      <c r="X14" t="s">
        <v>51</v>
      </c>
      <c r="Y14" t="s">
        <v>51</v>
      </c>
      <c r="Z14" t="s">
        <v>52</v>
      </c>
      <c r="AA14" s="5">
        <f t="shared" si="4"/>
        <v>-11.2</v>
      </c>
      <c r="AB14" s="5">
        <f t="shared" si="5"/>
        <v>126</v>
      </c>
      <c r="AC14" t="s">
        <v>53</v>
      </c>
      <c r="AD14" t="s">
        <v>123</v>
      </c>
      <c r="AE14" s="8">
        <v>9.677583920008162E-2</v>
      </c>
      <c r="AF14" t="s">
        <v>136</v>
      </c>
      <c r="AG14" s="5">
        <f t="shared" si="6"/>
        <v>3.8</v>
      </c>
      <c r="AH14" s="5">
        <f t="shared" si="7"/>
        <v>0.6</v>
      </c>
      <c r="AI14" s="7">
        <v>38</v>
      </c>
      <c r="AJ14" s="7">
        <v>6</v>
      </c>
      <c r="AK14" s="7">
        <v>38</v>
      </c>
      <c r="AL14" s="7">
        <v>6</v>
      </c>
      <c r="AM14" t="s">
        <v>51</v>
      </c>
      <c r="AN14" t="s">
        <v>50</v>
      </c>
      <c r="AO14" s="5">
        <f t="shared" si="8"/>
        <v>30</v>
      </c>
      <c r="AP14" s="5">
        <f t="shared" si="9"/>
        <v>94.14</v>
      </c>
      <c r="AQ14" s="5">
        <v>-194.25</v>
      </c>
      <c r="AR14" s="8" t="s">
        <v>137</v>
      </c>
      <c r="AS14" t="s">
        <v>138</v>
      </c>
    </row>
    <row r="15" spans="1:45" x14ac:dyDescent="0.35">
      <c r="A15" t="s">
        <v>139</v>
      </c>
      <c r="B15">
        <v>1</v>
      </c>
      <c r="C15">
        <v>5</v>
      </c>
      <c r="D15" t="s">
        <v>140</v>
      </c>
      <c r="E15">
        <v>1</v>
      </c>
      <c r="F15" t="s">
        <v>47</v>
      </c>
      <c r="G15" s="6">
        <v>1460</v>
      </c>
      <c r="H15" t="s">
        <v>141</v>
      </c>
      <c r="I15" t="s">
        <v>142</v>
      </c>
      <c r="J15" s="5">
        <f t="shared" si="0"/>
        <v>1.4</v>
      </c>
      <c r="K15" s="5">
        <f t="shared" si="1"/>
        <v>5.9</v>
      </c>
      <c r="L15" s="5">
        <f t="shared" si="2"/>
        <v>5.3</v>
      </c>
      <c r="M15" s="5">
        <v>-0.3</v>
      </c>
      <c r="N15" s="5">
        <f t="shared" si="3"/>
        <v>12.6</v>
      </c>
      <c r="P15"/>
      <c r="Q15" s="7">
        <v>14</v>
      </c>
      <c r="R15" s="7">
        <v>59</v>
      </c>
      <c r="S15" s="7">
        <v>53</v>
      </c>
      <c r="T15" s="7">
        <v>14</v>
      </c>
      <c r="U15" s="7">
        <v>59</v>
      </c>
      <c r="V15" s="7">
        <v>53</v>
      </c>
      <c r="W15" t="s">
        <v>50</v>
      </c>
      <c r="X15" t="s">
        <v>51</v>
      </c>
      <c r="Y15" t="s">
        <v>51</v>
      </c>
      <c r="Z15" t="s">
        <v>52</v>
      </c>
      <c r="AA15" s="5">
        <f t="shared" si="4"/>
        <v>-15.9</v>
      </c>
      <c r="AB15" s="5">
        <f t="shared" si="5"/>
        <v>126</v>
      </c>
      <c r="AC15" t="s">
        <v>53</v>
      </c>
      <c r="AD15" t="s">
        <v>143</v>
      </c>
      <c r="AE15" s="8">
        <v>0.1053974084277115</v>
      </c>
      <c r="AF15" t="s">
        <v>144</v>
      </c>
      <c r="AG15" s="5">
        <f t="shared" si="6"/>
        <v>6.8</v>
      </c>
      <c r="AH15" s="5">
        <f t="shared" si="7"/>
        <v>1</v>
      </c>
      <c r="AI15" s="7">
        <v>68</v>
      </c>
      <c r="AJ15" s="7">
        <v>10</v>
      </c>
      <c r="AK15" s="7">
        <v>68</v>
      </c>
      <c r="AL15" s="7">
        <v>10</v>
      </c>
      <c r="AM15" t="s">
        <v>61</v>
      </c>
      <c r="AN15" t="s">
        <v>50</v>
      </c>
      <c r="AO15" s="5">
        <f t="shared" si="8"/>
        <v>53.5</v>
      </c>
      <c r="AP15" s="5">
        <f t="shared" si="9"/>
        <v>113.6</v>
      </c>
      <c r="AQ15" s="5">
        <v>-210.15</v>
      </c>
      <c r="AR15" s="8" t="s">
        <v>145</v>
      </c>
      <c r="AS15" t="s">
        <v>146</v>
      </c>
    </row>
    <row r="16" spans="1:45" x14ac:dyDescent="0.35">
      <c r="A16" t="s">
        <v>147</v>
      </c>
      <c r="B16">
        <v>1</v>
      </c>
      <c r="C16">
        <v>5</v>
      </c>
      <c r="D16" t="s">
        <v>140</v>
      </c>
      <c r="E16">
        <v>2</v>
      </c>
      <c r="F16" t="s">
        <v>47</v>
      </c>
      <c r="G16" s="6">
        <v>1489</v>
      </c>
      <c r="H16" t="s">
        <v>148</v>
      </c>
      <c r="I16" t="s">
        <v>149</v>
      </c>
      <c r="J16" s="5">
        <f t="shared" si="0"/>
        <v>1.6</v>
      </c>
      <c r="K16" s="5">
        <f t="shared" si="1"/>
        <v>7.4</v>
      </c>
      <c r="L16" s="5">
        <f t="shared" si="2"/>
        <v>6.6</v>
      </c>
      <c r="M16" s="5">
        <v>-0.45</v>
      </c>
      <c r="N16" s="5">
        <f t="shared" si="3"/>
        <v>15.6</v>
      </c>
      <c r="P16"/>
      <c r="Q16" s="7">
        <v>16</v>
      </c>
      <c r="R16" s="7">
        <v>74</v>
      </c>
      <c r="S16" s="7">
        <v>66</v>
      </c>
      <c r="T16" s="7">
        <v>16</v>
      </c>
      <c r="U16" s="7">
        <v>74</v>
      </c>
      <c r="V16" s="7">
        <v>66</v>
      </c>
      <c r="W16" t="s">
        <v>50</v>
      </c>
      <c r="X16" t="s">
        <v>61</v>
      </c>
      <c r="Y16" t="s">
        <v>61</v>
      </c>
      <c r="Z16" t="s">
        <v>102</v>
      </c>
      <c r="AA16" s="5">
        <f t="shared" si="4"/>
        <v>-29.7</v>
      </c>
      <c r="AB16" s="5">
        <f t="shared" si="5"/>
        <v>156</v>
      </c>
      <c r="AC16" t="s">
        <v>53</v>
      </c>
      <c r="AD16" t="s">
        <v>143</v>
      </c>
      <c r="AE16" s="8">
        <v>0.1148001479440873</v>
      </c>
      <c r="AF16" t="s">
        <v>150</v>
      </c>
      <c r="AG16" s="5">
        <f t="shared" si="6"/>
        <v>7.2</v>
      </c>
      <c r="AH16" s="5">
        <f t="shared" si="7"/>
        <v>1.2</v>
      </c>
      <c r="AI16" s="7">
        <v>72</v>
      </c>
      <c r="AJ16" s="7">
        <v>12</v>
      </c>
      <c r="AK16" s="7">
        <v>72</v>
      </c>
      <c r="AL16" s="7">
        <v>12</v>
      </c>
      <c r="AM16" t="s">
        <v>61</v>
      </c>
      <c r="AN16" t="s">
        <v>50</v>
      </c>
      <c r="AO16" s="5">
        <f t="shared" si="8"/>
        <v>57</v>
      </c>
      <c r="AP16" s="5">
        <f t="shared" si="9"/>
        <v>138.13</v>
      </c>
      <c r="AQ16" s="5">
        <v>-239.85</v>
      </c>
      <c r="AR16" s="8" t="s">
        <v>151</v>
      </c>
      <c r="AS16" t="s">
        <v>152</v>
      </c>
    </row>
    <row r="17" spans="1:45" x14ac:dyDescent="0.35">
      <c r="A17" t="s">
        <v>153</v>
      </c>
      <c r="B17">
        <v>1</v>
      </c>
      <c r="C17">
        <v>6</v>
      </c>
      <c r="D17" t="s">
        <v>154</v>
      </c>
      <c r="E17">
        <v>1</v>
      </c>
      <c r="F17" t="s">
        <v>79</v>
      </c>
      <c r="G17" s="6">
        <v>998</v>
      </c>
      <c r="H17" t="s">
        <v>155</v>
      </c>
      <c r="I17" t="s">
        <v>156</v>
      </c>
      <c r="J17" s="5">
        <f t="shared" si="0"/>
        <v>2.2000000000000002</v>
      </c>
      <c r="K17" s="5">
        <f t="shared" si="1"/>
        <v>6</v>
      </c>
      <c r="L17" s="5">
        <f t="shared" si="2"/>
        <v>6.2</v>
      </c>
      <c r="M17" s="5">
        <v>-0.28000000000000003</v>
      </c>
      <c r="N17" s="5">
        <f t="shared" si="3"/>
        <v>14.4</v>
      </c>
      <c r="P17"/>
      <c r="Q17" s="7">
        <v>22</v>
      </c>
      <c r="R17" s="7">
        <v>60</v>
      </c>
      <c r="S17" s="7">
        <v>62</v>
      </c>
      <c r="T17" s="7">
        <v>22</v>
      </c>
      <c r="U17" s="7">
        <v>60</v>
      </c>
      <c r="V17" s="7">
        <v>62</v>
      </c>
      <c r="W17" t="s">
        <v>50</v>
      </c>
      <c r="X17" t="s">
        <v>51</v>
      </c>
      <c r="Y17" t="s">
        <v>61</v>
      </c>
      <c r="Z17" t="s">
        <v>52</v>
      </c>
      <c r="AA17" s="5">
        <f t="shared" si="4"/>
        <v>-17.36</v>
      </c>
      <c r="AB17" s="5">
        <f t="shared" si="5"/>
        <v>144</v>
      </c>
      <c r="AC17" t="s">
        <v>53</v>
      </c>
      <c r="AD17" t="s">
        <v>157</v>
      </c>
      <c r="AE17" s="8">
        <v>0.12272982348739921</v>
      </c>
      <c r="AF17" t="s">
        <v>158</v>
      </c>
      <c r="AG17" s="5">
        <f t="shared" si="6"/>
        <v>3.4</v>
      </c>
      <c r="AH17" s="5">
        <f t="shared" si="7"/>
        <v>0.4</v>
      </c>
      <c r="AI17" s="7">
        <v>34</v>
      </c>
      <c r="AJ17" s="7">
        <v>4</v>
      </c>
      <c r="AK17" s="7">
        <v>34</v>
      </c>
      <c r="AL17" s="7">
        <v>4</v>
      </c>
      <c r="AM17" t="s">
        <v>51</v>
      </c>
      <c r="AN17" t="s">
        <v>50</v>
      </c>
      <c r="AO17" s="5">
        <f t="shared" si="8"/>
        <v>26.5</v>
      </c>
      <c r="AP17" s="5">
        <f t="shared" si="9"/>
        <v>102.57</v>
      </c>
      <c r="AQ17" s="5">
        <v>-257.20999999999998</v>
      </c>
      <c r="AR17" s="8" t="s">
        <v>159</v>
      </c>
      <c r="AS17" t="s">
        <v>160</v>
      </c>
    </row>
    <row r="18" spans="1:45" x14ac:dyDescent="0.35">
      <c r="A18" t="s">
        <v>161</v>
      </c>
      <c r="B18">
        <v>1</v>
      </c>
      <c r="C18">
        <v>6</v>
      </c>
      <c r="D18" t="s">
        <v>154</v>
      </c>
      <c r="E18">
        <v>2</v>
      </c>
      <c r="F18" t="s">
        <v>79</v>
      </c>
      <c r="G18" s="6">
        <v>1222</v>
      </c>
      <c r="H18" t="s">
        <v>162</v>
      </c>
      <c r="I18" t="s">
        <v>163</v>
      </c>
      <c r="J18" s="5">
        <f t="shared" si="0"/>
        <v>3.4</v>
      </c>
      <c r="K18" s="5">
        <f t="shared" si="1"/>
        <v>7.2</v>
      </c>
      <c r="L18" s="5">
        <f t="shared" si="2"/>
        <v>7.4</v>
      </c>
      <c r="M18" s="5">
        <v>-0.42</v>
      </c>
      <c r="N18" s="5">
        <f t="shared" si="3"/>
        <v>18</v>
      </c>
      <c r="P18"/>
      <c r="Q18" s="7">
        <v>34</v>
      </c>
      <c r="R18" s="7">
        <v>72</v>
      </c>
      <c r="S18" s="7">
        <v>74</v>
      </c>
      <c r="T18" s="7">
        <v>34</v>
      </c>
      <c r="U18" s="7">
        <v>72</v>
      </c>
      <c r="V18" s="7">
        <v>74</v>
      </c>
      <c r="W18" t="s">
        <v>51</v>
      </c>
      <c r="X18" t="s">
        <v>61</v>
      </c>
      <c r="Y18" t="s">
        <v>61</v>
      </c>
      <c r="Z18" t="s">
        <v>102</v>
      </c>
      <c r="AA18" s="5">
        <f t="shared" si="4"/>
        <v>-31.08</v>
      </c>
      <c r="AB18" s="5">
        <f t="shared" si="5"/>
        <v>180</v>
      </c>
      <c r="AC18" t="s">
        <v>53</v>
      </c>
      <c r="AD18" t="s">
        <v>157</v>
      </c>
      <c r="AE18" s="8">
        <v>0.12980818283848591</v>
      </c>
      <c r="AF18" t="s">
        <v>164</v>
      </c>
      <c r="AG18" s="5">
        <f t="shared" si="6"/>
        <v>4.8</v>
      </c>
      <c r="AH18" s="5">
        <f t="shared" si="7"/>
        <v>0.6</v>
      </c>
      <c r="AI18" s="7">
        <v>48</v>
      </c>
      <c r="AJ18" s="7">
        <v>6</v>
      </c>
      <c r="AK18" s="7">
        <v>48</v>
      </c>
      <c r="AL18" s="7">
        <v>6</v>
      </c>
      <c r="AM18" t="s">
        <v>51</v>
      </c>
      <c r="AN18" t="s">
        <v>50</v>
      </c>
      <c r="AO18" s="5">
        <f t="shared" si="8"/>
        <v>37.5</v>
      </c>
      <c r="AP18" s="5">
        <f t="shared" si="9"/>
        <v>136.13</v>
      </c>
      <c r="AQ18" s="5">
        <v>-288.29000000000002</v>
      </c>
      <c r="AR18" s="8" t="s">
        <v>165</v>
      </c>
      <c r="AS18" t="s">
        <v>166</v>
      </c>
    </row>
    <row r="19" spans="1:45" x14ac:dyDescent="0.35">
      <c r="A19" t="s">
        <v>167</v>
      </c>
      <c r="B19">
        <v>1</v>
      </c>
      <c r="C19">
        <v>6</v>
      </c>
      <c r="D19" t="s">
        <v>154</v>
      </c>
      <c r="E19">
        <v>3</v>
      </c>
      <c r="F19" t="s">
        <v>79</v>
      </c>
      <c r="G19" s="6">
        <v>1003</v>
      </c>
      <c r="H19" t="s">
        <v>168</v>
      </c>
      <c r="I19" t="s">
        <v>169</v>
      </c>
      <c r="J19" s="5">
        <f t="shared" si="0"/>
        <v>5.8</v>
      </c>
      <c r="K19" s="5">
        <f t="shared" si="1"/>
        <v>7.6</v>
      </c>
      <c r="L19" s="5">
        <f t="shared" si="2"/>
        <v>7.8</v>
      </c>
      <c r="M19" s="5">
        <v>-0.34</v>
      </c>
      <c r="N19" s="5">
        <f t="shared" si="3"/>
        <v>21.2</v>
      </c>
      <c r="P19"/>
      <c r="Q19" s="7">
        <v>58</v>
      </c>
      <c r="R19" s="7">
        <v>76</v>
      </c>
      <c r="S19" s="7">
        <v>78</v>
      </c>
      <c r="T19" s="7">
        <v>58</v>
      </c>
      <c r="U19" s="7">
        <v>76</v>
      </c>
      <c r="V19" s="7">
        <v>78</v>
      </c>
      <c r="W19" t="s">
        <v>51</v>
      </c>
      <c r="X19" t="s">
        <v>61</v>
      </c>
      <c r="Y19" t="s">
        <v>61</v>
      </c>
      <c r="Z19" t="s">
        <v>102</v>
      </c>
      <c r="AA19" s="5">
        <f t="shared" si="4"/>
        <v>-26.52</v>
      </c>
      <c r="AB19" s="5">
        <f t="shared" si="5"/>
        <v>212</v>
      </c>
      <c r="AC19" t="s">
        <v>53</v>
      </c>
      <c r="AD19" t="s">
        <v>157</v>
      </c>
      <c r="AE19" s="8">
        <v>0.13690248444036321</v>
      </c>
      <c r="AF19" t="s">
        <v>170</v>
      </c>
      <c r="AG19" s="5">
        <f t="shared" si="6"/>
        <v>6.2</v>
      </c>
      <c r="AH19" s="5">
        <f t="shared" si="7"/>
        <v>0.8</v>
      </c>
      <c r="AI19" s="7">
        <v>62</v>
      </c>
      <c r="AJ19" s="7">
        <v>8</v>
      </c>
      <c r="AK19" s="7">
        <v>62</v>
      </c>
      <c r="AL19" s="7">
        <v>8</v>
      </c>
      <c r="AM19" t="s">
        <v>61</v>
      </c>
      <c r="AN19" t="s">
        <v>50</v>
      </c>
      <c r="AO19" s="5">
        <f t="shared" si="8"/>
        <v>48.5</v>
      </c>
      <c r="AP19" s="5">
        <f t="shared" si="9"/>
        <v>169.27</v>
      </c>
      <c r="AQ19" s="5">
        <v>-314.80999999999989</v>
      </c>
      <c r="AR19" s="8" t="s">
        <v>171</v>
      </c>
      <c r="AS19" t="s">
        <v>172</v>
      </c>
    </row>
    <row r="20" spans="1:45" x14ac:dyDescent="0.35">
      <c r="A20" t="s">
        <v>173</v>
      </c>
      <c r="B20">
        <v>1</v>
      </c>
      <c r="C20">
        <v>7</v>
      </c>
      <c r="D20" t="s">
        <v>174</v>
      </c>
      <c r="E20">
        <v>1</v>
      </c>
      <c r="F20" t="s">
        <v>79</v>
      </c>
      <c r="G20" s="6">
        <v>1223</v>
      </c>
      <c r="H20" t="s">
        <v>175</v>
      </c>
      <c r="I20" t="s">
        <v>176</v>
      </c>
      <c r="J20" s="5">
        <f t="shared" si="0"/>
        <v>6.8</v>
      </c>
      <c r="K20" s="5">
        <f t="shared" si="1"/>
        <v>7.4</v>
      </c>
      <c r="L20" s="5">
        <f t="shared" si="2"/>
        <v>7.6</v>
      </c>
      <c r="M20" s="5">
        <v>-0.38</v>
      </c>
      <c r="N20" s="5">
        <f t="shared" si="3"/>
        <v>21.8</v>
      </c>
      <c r="P20"/>
      <c r="Q20" s="7">
        <v>68</v>
      </c>
      <c r="R20" s="7">
        <v>74</v>
      </c>
      <c r="S20" s="7">
        <v>76</v>
      </c>
      <c r="T20" s="7">
        <v>68</v>
      </c>
      <c r="U20" s="7">
        <v>74</v>
      </c>
      <c r="V20" s="7">
        <v>76</v>
      </c>
      <c r="W20" t="s">
        <v>61</v>
      </c>
      <c r="X20" t="s">
        <v>61</v>
      </c>
      <c r="Y20" t="s">
        <v>61</v>
      </c>
      <c r="Z20" t="s">
        <v>102</v>
      </c>
      <c r="AA20" s="5">
        <f t="shared" si="4"/>
        <v>-28.88</v>
      </c>
      <c r="AB20" s="5">
        <f t="shared" si="5"/>
        <v>218</v>
      </c>
      <c r="AC20" t="s">
        <v>53</v>
      </c>
      <c r="AD20" t="s">
        <v>177</v>
      </c>
      <c r="AE20" s="8">
        <v>0.14399997449239871</v>
      </c>
      <c r="AF20" t="s">
        <v>178</v>
      </c>
      <c r="AG20" s="5">
        <f t="shared" si="6"/>
        <v>2.4</v>
      </c>
      <c r="AH20" s="5">
        <f t="shared" si="7"/>
        <v>3.4</v>
      </c>
      <c r="AI20" s="7">
        <v>24</v>
      </c>
      <c r="AJ20" s="7">
        <v>34</v>
      </c>
      <c r="AK20" s="7">
        <v>24</v>
      </c>
      <c r="AL20" s="7">
        <v>34</v>
      </c>
      <c r="AM20" t="s">
        <v>50</v>
      </c>
      <c r="AN20" t="s">
        <v>51</v>
      </c>
      <c r="AO20" s="5">
        <f t="shared" si="8"/>
        <v>26.5</v>
      </c>
      <c r="AP20" s="5">
        <f t="shared" si="9"/>
        <v>149.16</v>
      </c>
      <c r="AQ20" s="5">
        <v>-343.68999999999988</v>
      </c>
      <c r="AR20" s="8" t="s">
        <v>179</v>
      </c>
      <c r="AS20" t="s">
        <v>180</v>
      </c>
    </row>
    <row r="21" spans="1:45" x14ac:dyDescent="0.35">
      <c r="A21" t="s">
        <v>181</v>
      </c>
      <c r="B21">
        <v>1</v>
      </c>
      <c r="C21">
        <v>7</v>
      </c>
      <c r="D21" t="s">
        <v>174</v>
      </c>
      <c r="E21">
        <v>2</v>
      </c>
      <c r="F21" t="s">
        <v>79</v>
      </c>
      <c r="G21" s="6">
        <v>1820</v>
      </c>
      <c r="H21" t="s">
        <v>182</v>
      </c>
      <c r="I21" t="s">
        <v>183</v>
      </c>
      <c r="J21" s="5">
        <f t="shared" si="0"/>
        <v>4.2</v>
      </c>
      <c r="K21" s="5">
        <f t="shared" si="1"/>
        <v>7.1</v>
      </c>
      <c r="L21" s="5">
        <f t="shared" si="2"/>
        <v>8.1</v>
      </c>
      <c r="M21" s="5">
        <v>-0.22</v>
      </c>
      <c r="N21" s="5">
        <f t="shared" si="3"/>
        <v>19.399999999999999</v>
      </c>
      <c r="P21"/>
      <c r="Q21" s="7">
        <v>42</v>
      </c>
      <c r="R21" s="7">
        <v>71</v>
      </c>
      <c r="S21" s="7">
        <v>81</v>
      </c>
      <c r="T21" s="7">
        <v>42</v>
      </c>
      <c r="U21" s="7">
        <v>71</v>
      </c>
      <c r="V21" s="7">
        <v>81</v>
      </c>
      <c r="W21" t="s">
        <v>51</v>
      </c>
      <c r="X21" t="s">
        <v>61</v>
      </c>
      <c r="Y21" t="s">
        <v>61</v>
      </c>
      <c r="Z21" t="s">
        <v>52</v>
      </c>
      <c r="AA21" s="5">
        <f t="shared" si="4"/>
        <v>-17.82</v>
      </c>
      <c r="AB21" s="5">
        <f t="shared" si="5"/>
        <v>194</v>
      </c>
      <c r="AC21" t="s">
        <v>53</v>
      </c>
      <c r="AD21" t="s">
        <v>177</v>
      </c>
      <c r="AE21" s="8">
        <v>0.15370242832364039</v>
      </c>
      <c r="AF21" t="s">
        <v>184</v>
      </c>
      <c r="AG21" s="5">
        <f t="shared" si="6"/>
        <v>1.8</v>
      </c>
      <c r="AH21" s="5">
        <f t="shared" si="7"/>
        <v>1</v>
      </c>
      <c r="AI21" s="7">
        <v>18</v>
      </c>
      <c r="AJ21" s="7">
        <v>10</v>
      </c>
      <c r="AK21" s="7">
        <v>18</v>
      </c>
      <c r="AL21" s="7">
        <v>10</v>
      </c>
      <c r="AM21" t="s">
        <v>50</v>
      </c>
      <c r="AN21" t="s">
        <v>50</v>
      </c>
      <c r="AO21" s="5">
        <f t="shared" si="8"/>
        <v>16</v>
      </c>
      <c r="AP21" s="5">
        <f t="shared" si="9"/>
        <v>123.21</v>
      </c>
      <c r="AQ21" s="5">
        <v>-361.50999999999988</v>
      </c>
      <c r="AR21" s="8" t="s">
        <v>185</v>
      </c>
      <c r="AS21" t="s">
        <v>186</v>
      </c>
    </row>
    <row r="22" spans="1:45" x14ac:dyDescent="0.35">
      <c r="A22" t="s">
        <v>187</v>
      </c>
      <c r="B22">
        <v>1</v>
      </c>
      <c r="C22">
        <v>8</v>
      </c>
      <c r="D22" t="s">
        <v>188</v>
      </c>
      <c r="E22">
        <v>1</v>
      </c>
      <c r="F22" t="s">
        <v>79</v>
      </c>
      <c r="G22" s="6">
        <v>742</v>
      </c>
      <c r="H22" t="s">
        <v>189</v>
      </c>
      <c r="I22" t="s">
        <v>190</v>
      </c>
      <c r="J22" s="5">
        <f t="shared" si="0"/>
        <v>7.2</v>
      </c>
      <c r="K22" s="5">
        <f t="shared" si="1"/>
        <v>6.6</v>
      </c>
      <c r="L22" s="5">
        <f t="shared" si="2"/>
        <v>6.1</v>
      </c>
      <c r="M22" s="5">
        <v>-0.2</v>
      </c>
      <c r="N22" s="5">
        <f t="shared" si="3"/>
        <v>19.899999999999999</v>
      </c>
      <c r="P22"/>
      <c r="Q22" s="7">
        <v>72</v>
      </c>
      <c r="R22" s="7">
        <v>66</v>
      </c>
      <c r="S22" s="7">
        <v>61</v>
      </c>
      <c r="T22" s="7">
        <v>72</v>
      </c>
      <c r="U22" s="7">
        <v>66</v>
      </c>
      <c r="V22" s="7">
        <v>61</v>
      </c>
      <c r="W22" t="s">
        <v>61</v>
      </c>
      <c r="X22" t="s">
        <v>61</v>
      </c>
      <c r="Y22" t="s">
        <v>61</v>
      </c>
      <c r="Z22" t="s">
        <v>52</v>
      </c>
      <c r="AA22" s="5">
        <f t="shared" si="4"/>
        <v>-12.2</v>
      </c>
      <c r="AB22" s="5">
        <f t="shared" si="5"/>
        <v>199</v>
      </c>
      <c r="AC22" t="s">
        <v>53</v>
      </c>
      <c r="AD22" t="s">
        <v>191</v>
      </c>
      <c r="AE22" s="8">
        <v>0.16187123762881339</v>
      </c>
      <c r="AF22" t="s">
        <v>192</v>
      </c>
      <c r="AG22" s="5">
        <f t="shared" si="6"/>
        <v>1.6</v>
      </c>
      <c r="AH22" s="5">
        <f t="shared" si="7"/>
        <v>0.8</v>
      </c>
      <c r="AI22" s="7">
        <v>16</v>
      </c>
      <c r="AJ22" s="7">
        <v>8</v>
      </c>
      <c r="AK22" s="7">
        <v>16</v>
      </c>
      <c r="AL22" s="7">
        <v>8</v>
      </c>
      <c r="AM22" t="s">
        <v>50</v>
      </c>
      <c r="AN22" t="s">
        <v>50</v>
      </c>
      <c r="AO22" s="5">
        <f t="shared" si="8"/>
        <v>14</v>
      </c>
      <c r="AP22" s="5">
        <f t="shared" si="9"/>
        <v>124.11</v>
      </c>
      <c r="AQ22" s="5">
        <v>-373.70999999999992</v>
      </c>
      <c r="AR22" s="8" t="s">
        <v>193</v>
      </c>
      <c r="AS22" t="s">
        <v>194</v>
      </c>
    </row>
    <row r="23" spans="1:45" x14ac:dyDescent="0.35">
      <c r="A23" t="s">
        <v>195</v>
      </c>
      <c r="B23">
        <v>1</v>
      </c>
      <c r="C23">
        <v>8</v>
      </c>
      <c r="D23" t="s">
        <v>188</v>
      </c>
      <c r="E23">
        <v>2</v>
      </c>
      <c r="F23" t="s">
        <v>79</v>
      </c>
      <c r="G23" s="6">
        <v>1297</v>
      </c>
      <c r="H23" t="s">
        <v>196</v>
      </c>
      <c r="I23" t="s">
        <v>197</v>
      </c>
      <c r="J23" s="5">
        <f t="shared" si="0"/>
        <v>7.6</v>
      </c>
      <c r="K23" s="5">
        <f t="shared" si="1"/>
        <v>7.2</v>
      </c>
      <c r="L23" s="5">
        <f t="shared" si="2"/>
        <v>6.9</v>
      </c>
      <c r="M23" s="5">
        <v>-0.32</v>
      </c>
      <c r="N23" s="5">
        <f t="shared" si="3"/>
        <v>21.7</v>
      </c>
      <c r="P23"/>
      <c r="Q23" s="7">
        <v>76</v>
      </c>
      <c r="R23" s="7">
        <v>72</v>
      </c>
      <c r="S23" s="7">
        <v>69</v>
      </c>
      <c r="T23" s="7">
        <v>76</v>
      </c>
      <c r="U23" s="7">
        <v>72</v>
      </c>
      <c r="V23" s="7">
        <v>69</v>
      </c>
      <c r="W23" t="s">
        <v>61</v>
      </c>
      <c r="X23" t="s">
        <v>61</v>
      </c>
      <c r="Y23" t="s">
        <v>61</v>
      </c>
      <c r="Z23" t="s">
        <v>52</v>
      </c>
      <c r="AA23" s="5">
        <f t="shared" si="4"/>
        <v>-22.08</v>
      </c>
      <c r="AB23" s="5">
        <f t="shared" si="5"/>
        <v>217</v>
      </c>
      <c r="AC23" t="s">
        <v>53</v>
      </c>
      <c r="AD23" t="s">
        <v>191</v>
      </c>
      <c r="AE23" s="8">
        <v>0.1683724875012754</v>
      </c>
      <c r="AF23" t="s">
        <v>198</v>
      </c>
      <c r="AG23" s="5">
        <f t="shared" si="6"/>
        <v>1.8</v>
      </c>
      <c r="AH23" s="5">
        <f t="shared" si="7"/>
        <v>1</v>
      </c>
      <c r="AI23" s="7">
        <v>18</v>
      </c>
      <c r="AJ23" s="7">
        <v>10</v>
      </c>
      <c r="AK23" s="7">
        <v>18</v>
      </c>
      <c r="AL23" s="7">
        <v>10</v>
      </c>
      <c r="AM23" t="s">
        <v>50</v>
      </c>
      <c r="AN23" t="s">
        <v>50</v>
      </c>
      <c r="AO23" s="5">
        <f t="shared" si="8"/>
        <v>16</v>
      </c>
      <c r="AP23" s="5">
        <f t="shared" si="9"/>
        <v>136.97</v>
      </c>
      <c r="AQ23" s="5">
        <v>-395.78999999999991</v>
      </c>
      <c r="AR23" s="8" t="s">
        <v>199</v>
      </c>
      <c r="AS23" t="s">
        <v>200</v>
      </c>
    </row>
    <row r="24" spans="1:45" x14ac:dyDescent="0.35">
      <c r="A24" t="s">
        <v>201</v>
      </c>
      <c r="B24">
        <v>1</v>
      </c>
      <c r="C24">
        <v>9</v>
      </c>
      <c r="D24" t="s">
        <v>202</v>
      </c>
      <c r="E24">
        <v>1</v>
      </c>
      <c r="F24" t="s">
        <v>47</v>
      </c>
      <c r="G24" s="6">
        <v>1678</v>
      </c>
      <c r="H24" t="s">
        <v>203</v>
      </c>
      <c r="I24" t="s">
        <v>204</v>
      </c>
      <c r="J24" s="5">
        <f t="shared" si="0"/>
        <v>1.2</v>
      </c>
      <c r="K24" s="5">
        <f t="shared" si="1"/>
        <v>5.7</v>
      </c>
      <c r="L24" s="5">
        <f t="shared" si="2"/>
        <v>6.6</v>
      </c>
      <c r="M24" s="5">
        <v>-0.44</v>
      </c>
      <c r="N24" s="5">
        <f t="shared" si="3"/>
        <v>13.5</v>
      </c>
      <c r="P24"/>
      <c r="Q24" s="7">
        <v>12</v>
      </c>
      <c r="R24" s="7">
        <v>57</v>
      </c>
      <c r="S24" s="7">
        <v>66</v>
      </c>
      <c r="T24" s="7">
        <v>12</v>
      </c>
      <c r="U24" s="7">
        <v>57</v>
      </c>
      <c r="V24" s="7">
        <v>66</v>
      </c>
      <c r="W24" t="s">
        <v>50</v>
      </c>
      <c r="X24" t="s">
        <v>51</v>
      </c>
      <c r="Y24" t="s">
        <v>61</v>
      </c>
      <c r="Z24" t="s">
        <v>102</v>
      </c>
      <c r="AA24" s="5">
        <f t="shared" si="4"/>
        <v>-29.04</v>
      </c>
      <c r="AB24" s="5">
        <f t="shared" si="5"/>
        <v>135</v>
      </c>
      <c r="AC24" t="s">
        <v>53</v>
      </c>
      <c r="AD24" t="s">
        <v>205</v>
      </c>
      <c r="AE24" s="8">
        <v>0.1778581267217631</v>
      </c>
      <c r="AF24" t="s">
        <v>206</v>
      </c>
      <c r="AG24" s="5">
        <f t="shared" si="6"/>
        <v>2.8</v>
      </c>
      <c r="AH24" s="5">
        <f t="shared" si="7"/>
        <v>0.4</v>
      </c>
      <c r="AI24" s="7">
        <v>28</v>
      </c>
      <c r="AJ24" s="7">
        <v>4</v>
      </c>
      <c r="AK24" s="7">
        <v>28</v>
      </c>
      <c r="AL24" s="7">
        <v>4</v>
      </c>
      <c r="AM24" t="s">
        <v>50</v>
      </c>
      <c r="AN24" t="s">
        <v>50</v>
      </c>
      <c r="AO24" s="5">
        <f t="shared" si="8"/>
        <v>22</v>
      </c>
      <c r="AP24" s="5">
        <f t="shared" si="9"/>
        <v>93.06</v>
      </c>
      <c r="AQ24" s="5">
        <v>-424.82999999999993</v>
      </c>
      <c r="AR24" s="8" t="s">
        <v>207</v>
      </c>
      <c r="AS24" t="s">
        <v>208</v>
      </c>
    </row>
    <row r="25" spans="1:45" x14ac:dyDescent="0.35">
      <c r="A25" t="s">
        <v>209</v>
      </c>
      <c r="B25">
        <v>1</v>
      </c>
      <c r="C25">
        <v>9</v>
      </c>
      <c r="D25" t="s">
        <v>202</v>
      </c>
      <c r="E25">
        <v>2</v>
      </c>
      <c r="F25" t="s">
        <v>47</v>
      </c>
      <c r="G25" s="6">
        <v>1162</v>
      </c>
      <c r="H25" t="s">
        <v>210</v>
      </c>
      <c r="I25" t="s">
        <v>211</v>
      </c>
      <c r="J25" s="5">
        <f t="shared" si="0"/>
        <v>1</v>
      </c>
      <c r="K25" s="5">
        <f t="shared" si="1"/>
        <v>6.1</v>
      </c>
      <c r="L25" s="5">
        <f t="shared" si="2"/>
        <v>6.3</v>
      </c>
      <c r="M25" s="5">
        <v>-0.26</v>
      </c>
      <c r="N25" s="5">
        <f t="shared" si="3"/>
        <v>13.4</v>
      </c>
      <c r="P25"/>
      <c r="Q25" s="7">
        <v>10</v>
      </c>
      <c r="R25" s="7">
        <v>61</v>
      </c>
      <c r="S25" s="7">
        <v>63</v>
      </c>
      <c r="T25" s="7">
        <v>10</v>
      </c>
      <c r="U25" s="7">
        <v>61</v>
      </c>
      <c r="V25" s="7">
        <v>63</v>
      </c>
      <c r="W25" t="s">
        <v>50</v>
      </c>
      <c r="X25" t="s">
        <v>61</v>
      </c>
      <c r="Y25" t="s">
        <v>61</v>
      </c>
      <c r="Z25" t="s">
        <v>52</v>
      </c>
      <c r="AA25" s="5">
        <f t="shared" si="4"/>
        <v>-16.38</v>
      </c>
      <c r="AB25" s="5">
        <f t="shared" si="5"/>
        <v>134</v>
      </c>
      <c r="AC25" t="s">
        <v>53</v>
      </c>
      <c r="AD25" t="s">
        <v>205</v>
      </c>
      <c r="AE25" s="8">
        <v>0.1869133251709009</v>
      </c>
      <c r="AF25" t="s">
        <v>212</v>
      </c>
      <c r="AG25" s="5">
        <f t="shared" si="6"/>
        <v>2.6</v>
      </c>
      <c r="AH25" s="5">
        <f t="shared" si="7"/>
        <v>0.8</v>
      </c>
      <c r="AI25" s="7">
        <v>26</v>
      </c>
      <c r="AJ25" s="7">
        <v>8</v>
      </c>
      <c r="AK25" s="7">
        <v>26</v>
      </c>
      <c r="AL25" s="7">
        <v>8</v>
      </c>
      <c r="AM25" t="s">
        <v>50</v>
      </c>
      <c r="AN25" t="s">
        <v>50</v>
      </c>
      <c r="AO25" s="5">
        <f t="shared" si="8"/>
        <v>21.5</v>
      </c>
      <c r="AP25" s="5">
        <f t="shared" si="9"/>
        <v>92.02</v>
      </c>
      <c r="AQ25" s="5">
        <v>-441.20999999999992</v>
      </c>
      <c r="AR25" s="8" t="s">
        <v>213</v>
      </c>
      <c r="AS25" t="s">
        <v>214</v>
      </c>
    </row>
    <row r="26" spans="1:45" x14ac:dyDescent="0.35">
      <c r="A26" t="s">
        <v>215</v>
      </c>
      <c r="B26">
        <v>1</v>
      </c>
      <c r="C26">
        <v>10</v>
      </c>
      <c r="D26" t="s">
        <v>216</v>
      </c>
      <c r="E26">
        <v>1</v>
      </c>
      <c r="F26" t="s">
        <v>79</v>
      </c>
      <c r="G26" s="6">
        <v>1284</v>
      </c>
      <c r="H26" t="s">
        <v>217</v>
      </c>
      <c r="I26" t="s">
        <v>218</v>
      </c>
      <c r="J26" s="5">
        <f t="shared" si="0"/>
        <v>1.4</v>
      </c>
      <c r="K26" s="5">
        <f t="shared" si="1"/>
        <v>6.9</v>
      </c>
      <c r="L26" s="5">
        <f t="shared" si="2"/>
        <v>7.1</v>
      </c>
      <c r="M26" s="5">
        <v>-0.38</v>
      </c>
      <c r="N26" s="5">
        <f t="shared" si="3"/>
        <v>15.4</v>
      </c>
      <c r="P26"/>
      <c r="Q26" s="7">
        <v>14</v>
      </c>
      <c r="R26" s="7">
        <v>69</v>
      </c>
      <c r="S26" s="7">
        <v>71</v>
      </c>
      <c r="T26" s="7">
        <v>14</v>
      </c>
      <c r="U26" s="7">
        <v>69</v>
      </c>
      <c r="V26" s="7">
        <v>71</v>
      </c>
      <c r="W26" t="s">
        <v>50</v>
      </c>
      <c r="X26" t="s">
        <v>61</v>
      </c>
      <c r="Y26" t="s">
        <v>61</v>
      </c>
      <c r="Z26" t="s">
        <v>102</v>
      </c>
      <c r="AA26" s="5">
        <f t="shared" si="4"/>
        <v>-26.98</v>
      </c>
      <c r="AB26" s="5">
        <f t="shared" si="5"/>
        <v>154</v>
      </c>
      <c r="AC26" t="s">
        <v>53</v>
      </c>
      <c r="AD26" t="s">
        <v>219</v>
      </c>
      <c r="AE26" s="8">
        <v>0.1947122742577288</v>
      </c>
      <c r="AF26" t="s">
        <v>220</v>
      </c>
      <c r="AG26" s="5">
        <f t="shared" si="6"/>
        <v>4.4000000000000004</v>
      </c>
      <c r="AH26" s="5">
        <f t="shared" si="7"/>
        <v>0.4</v>
      </c>
      <c r="AI26" s="7">
        <v>44</v>
      </c>
      <c r="AJ26" s="7">
        <v>4</v>
      </c>
      <c r="AK26" s="7">
        <v>44</v>
      </c>
      <c r="AL26" s="7">
        <v>4</v>
      </c>
      <c r="AM26" t="s">
        <v>51</v>
      </c>
      <c r="AN26" t="s">
        <v>50</v>
      </c>
      <c r="AO26" s="5">
        <f t="shared" si="8"/>
        <v>34</v>
      </c>
      <c r="AP26" s="5">
        <f t="shared" si="9"/>
        <v>115.71</v>
      </c>
      <c r="AQ26" s="5">
        <v>-468.18999999999988</v>
      </c>
      <c r="AR26" s="8" t="s">
        <v>221</v>
      </c>
      <c r="AS26" t="s">
        <v>222</v>
      </c>
    </row>
    <row r="27" spans="1:45" x14ac:dyDescent="0.35">
      <c r="A27" t="s">
        <v>223</v>
      </c>
      <c r="B27">
        <v>1</v>
      </c>
      <c r="C27">
        <v>10</v>
      </c>
      <c r="D27" t="s">
        <v>216</v>
      </c>
      <c r="E27">
        <v>2</v>
      </c>
      <c r="F27" t="s">
        <v>79</v>
      </c>
      <c r="G27" s="6">
        <v>1129</v>
      </c>
      <c r="H27" t="s">
        <v>224</v>
      </c>
      <c r="I27" t="s">
        <v>225</v>
      </c>
      <c r="J27" s="5">
        <f t="shared" si="0"/>
        <v>2.8</v>
      </c>
      <c r="K27" s="5">
        <f t="shared" si="1"/>
        <v>5.6</v>
      </c>
      <c r="L27" s="5">
        <f t="shared" si="2"/>
        <v>6</v>
      </c>
      <c r="M27" s="5">
        <v>-0.18</v>
      </c>
      <c r="N27" s="5">
        <f t="shared" si="3"/>
        <v>14.4</v>
      </c>
      <c r="P27"/>
      <c r="Q27" s="7">
        <v>28</v>
      </c>
      <c r="R27" s="7">
        <v>56</v>
      </c>
      <c r="S27" s="7">
        <v>60</v>
      </c>
      <c r="T27" s="7">
        <v>28</v>
      </c>
      <c r="U27" s="7">
        <v>56</v>
      </c>
      <c r="V27" s="7">
        <v>60</v>
      </c>
      <c r="W27" t="s">
        <v>50</v>
      </c>
      <c r="X27" t="s">
        <v>51</v>
      </c>
      <c r="Y27" t="s">
        <v>51</v>
      </c>
      <c r="Z27" t="s">
        <v>52</v>
      </c>
      <c r="AA27" s="5">
        <f t="shared" si="4"/>
        <v>-10.8</v>
      </c>
      <c r="AB27" s="5">
        <f t="shared" si="5"/>
        <v>144</v>
      </c>
      <c r="AC27" t="s">
        <v>53</v>
      </c>
      <c r="AD27" t="s">
        <v>219</v>
      </c>
      <c r="AE27" s="8">
        <v>0.20240600448933779</v>
      </c>
      <c r="AF27" t="s">
        <v>226</v>
      </c>
      <c r="AG27" s="5">
        <f t="shared" si="6"/>
        <v>3</v>
      </c>
      <c r="AH27" s="5">
        <f t="shared" si="7"/>
        <v>0.6</v>
      </c>
      <c r="AI27" s="7">
        <v>30</v>
      </c>
      <c r="AJ27" s="7">
        <v>6</v>
      </c>
      <c r="AK27" s="7">
        <v>30</v>
      </c>
      <c r="AL27" s="7">
        <v>6</v>
      </c>
      <c r="AM27" t="s">
        <v>50</v>
      </c>
      <c r="AN27" t="s">
        <v>50</v>
      </c>
      <c r="AO27" s="5">
        <f t="shared" si="8"/>
        <v>24</v>
      </c>
      <c r="AP27" s="5">
        <f t="shared" si="9"/>
        <v>100.37</v>
      </c>
      <c r="AQ27" s="5">
        <v>-478.99</v>
      </c>
      <c r="AR27" s="8" t="s">
        <v>227</v>
      </c>
      <c r="AS27" t="s">
        <v>228</v>
      </c>
    </row>
    <row r="28" spans="1:45" x14ac:dyDescent="0.35">
      <c r="A28" t="s">
        <v>229</v>
      </c>
      <c r="B28">
        <v>1</v>
      </c>
      <c r="C28">
        <v>10</v>
      </c>
      <c r="D28" t="s">
        <v>216</v>
      </c>
      <c r="E28">
        <v>3</v>
      </c>
      <c r="F28" t="s">
        <v>79</v>
      </c>
      <c r="G28" s="6">
        <v>1195</v>
      </c>
      <c r="H28" t="s">
        <v>230</v>
      </c>
      <c r="I28" t="s">
        <v>231</v>
      </c>
      <c r="J28" s="5">
        <f t="shared" si="0"/>
        <v>8.8000000000000007</v>
      </c>
      <c r="K28" s="5">
        <f t="shared" si="1"/>
        <v>8.4</v>
      </c>
      <c r="L28" s="5">
        <f t="shared" si="2"/>
        <v>8.6</v>
      </c>
      <c r="M28" s="5">
        <v>-0.56999999999999995</v>
      </c>
      <c r="N28" s="5">
        <f t="shared" si="3"/>
        <v>25.8</v>
      </c>
      <c r="P28"/>
      <c r="Q28" s="7">
        <v>88</v>
      </c>
      <c r="R28" s="7">
        <v>84</v>
      </c>
      <c r="S28" s="7">
        <v>86</v>
      </c>
      <c r="T28" s="7">
        <v>88</v>
      </c>
      <c r="U28" s="7">
        <v>84</v>
      </c>
      <c r="V28" s="7">
        <v>86</v>
      </c>
      <c r="W28" t="s">
        <v>61</v>
      </c>
      <c r="X28" t="s">
        <v>61</v>
      </c>
      <c r="Y28" t="s">
        <v>61</v>
      </c>
      <c r="Z28" t="s">
        <v>102</v>
      </c>
      <c r="AA28" s="5">
        <f t="shared" si="4"/>
        <v>-49.02</v>
      </c>
      <c r="AB28" s="5">
        <f t="shared" si="5"/>
        <v>258</v>
      </c>
      <c r="AC28" t="s">
        <v>53</v>
      </c>
      <c r="AD28" t="s">
        <v>219</v>
      </c>
      <c r="AE28" s="8">
        <v>0.20981596265687169</v>
      </c>
      <c r="AF28" t="s">
        <v>232</v>
      </c>
      <c r="AG28" s="5">
        <f t="shared" si="6"/>
        <v>5.2</v>
      </c>
      <c r="AH28" s="5">
        <f t="shared" si="7"/>
        <v>0.4</v>
      </c>
      <c r="AI28" s="7">
        <v>52</v>
      </c>
      <c r="AJ28" s="7">
        <v>4</v>
      </c>
      <c r="AK28" s="7">
        <v>52</v>
      </c>
      <c r="AL28" s="7">
        <v>4</v>
      </c>
      <c r="AM28" t="s">
        <v>51</v>
      </c>
      <c r="AN28" t="s">
        <v>50</v>
      </c>
      <c r="AO28" s="5">
        <f t="shared" si="8"/>
        <v>40</v>
      </c>
      <c r="AP28" s="5">
        <f t="shared" si="9"/>
        <v>190.86</v>
      </c>
      <c r="AQ28" s="5">
        <v>-528.01</v>
      </c>
      <c r="AR28" s="8" t="s">
        <v>233</v>
      </c>
      <c r="AS28" t="s">
        <v>234</v>
      </c>
    </row>
    <row r="29" spans="1:45" x14ac:dyDescent="0.35">
      <c r="A29" t="s">
        <v>235</v>
      </c>
      <c r="B29">
        <v>1</v>
      </c>
      <c r="C29">
        <v>11</v>
      </c>
      <c r="D29" t="s">
        <v>236</v>
      </c>
      <c r="E29">
        <v>1</v>
      </c>
      <c r="F29" t="s">
        <v>47</v>
      </c>
      <c r="G29" s="6">
        <v>1438</v>
      </c>
      <c r="H29" t="s">
        <v>237</v>
      </c>
      <c r="I29" t="s">
        <v>238</v>
      </c>
      <c r="J29" s="5">
        <f t="shared" si="0"/>
        <v>1.2</v>
      </c>
      <c r="K29" s="5">
        <f t="shared" si="1"/>
        <v>6.4</v>
      </c>
      <c r="L29" s="5">
        <f t="shared" si="2"/>
        <v>6.8</v>
      </c>
      <c r="M29" s="5">
        <v>-0.42</v>
      </c>
      <c r="N29" s="5">
        <f t="shared" si="3"/>
        <v>14.4</v>
      </c>
      <c r="P29"/>
      <c r="Q29" s="7">
        <v>12</v>
      </c>
      <c r="R29" s="7">
        <v>64</v>
      </c>
      <c r="S29" s="7">
        <v>68</v>
      </c>
      <c r="T29" s="7">
        <v>12</v>
      </c>
      <c r="U29" s="7">
        <v>64</v>
      </c>
      <c r="V29" s="7">
        <v>68</v>
      </c>
      <c r="W29" t="s">
        <v>50</v>
      </c>
      <c r="X29" t="s">
        <v>61</v>
      </c>
      <c r="Y29" t="s">
        <v>61</v>
      </c>
      <c r="Z29" t="s">
        <v>102</v>
      </c>
      <c r="AA29" s="5">
        <f t="shared" si="4"/>
        <v>-28.56</v>
      </c>
      <c r="AB29" s="5">
        <f t="shared" si="5"/>
        <v>144</v>
      </c>
      <c r="AC29" t="s">
        <v>53</v>
      </c>
      <c r="AD29" t="s">
        <v>239</v>
      </c>
      <c r="AE29" s="8">
        <v>0.21821115192327309</v>
      </c>
      <c r="AF29" t="s">
        <v>240</v>
      </c>
      <c r="AG29" s="5">
        <f t="shared" si="6"/>
        <v>2.6</v>
      </c>
      <c r="AH29" s="5">
        <f t="shared" si="7"/>
        <v>0.6</v>
      </c>
      <c r="AI29" s="7">
        <v>26</v>
      </c>
      <c r="AJ29" s="7">
        <v>6</v>
      </c>
      <c r="AK29" s="7">
        <v>26</v>
      </c>
      <c r="AL29" s="7">
        <v>6</v>
      </c>
      <c r="AM29" t="s">
        <v>50</v>
      </c>
      <c r="AN29" t="s">
        <v>50</v>
      </c>
      <c r="AO29" s="5">
        <f t="shared" si="8"/>
        <v>21</v>
      </c>
      <c r="AP29" s="5">
        <f t="shared" si="9"/>
        <v>97.72</v>
      </c>
      <c r="AQ29" s="5">
        <v>-556.56999999999994</v>
      </c>
      <c r="AR29" s="8" t="s">
        <v>241</v>
      </c>
      <c r="AS29" t="s">
        <v>242</v>
      </c>
    </row>
    <row r="30" spans="1:45" x14ac:dyDescent="0.35">
      <c r="A30" t="s">
        <v>243</v>
      </c>
      <c r="B30">
        <v>1</v>
      </c>
      <c r="C30">
        <v>11</v>
      </c>
      <c r="D30" t="s">
        <v>236</v>
      </c>
      <c r="E30">
        <v>2</v>
      </c>
      <c r="F30" t="s">
        <v>47</v>
      </c>
      <c r="G30" s="6">
        <v>784</v>
      </c>
      <c r="H30" t="s">
        <v>244</v>
      </c>
      <c r="I30" t="s">
        <v>245</v>
      </c>
      <c r="J30" s="5">
        <f t="shared" si="0"/>
        <v>1</v>
      </c>
      <c r="K30" s="5">
        <f t="shared" si="1"/>
        <v>5.8</v>
      </c>
      <c r="L30" s="5">
        <f t="shared" si="2"/>
        <v>6.1</v>
      </c>
      <c r="M30" s="5">
        <v>-0.3</v>
      </c>
      <c r="N30" s="5">
        <f t="shared" si="3"/>
        <v>12.9</v>
      </c>
      <c r="P30"/>
      <c r="Q30" s="7">
        <v>10</v>
      </c>
      <c r="R30" s="7">
        <v>58</v>
      </c>
      <c r="S30" s="7">
        <v>61</v>
      </c>
      <c r="T30" s="7">
        <v>10</v>
      </c>
      <c r="U30" s="7">
        <v>58</v>
      </c>
      <c r="V30" s="7">
        <v>61</v>
      </c>
      <c r="W30" t="s">
        <v>50</v>
      </c>
      <c r="X30" t="s">
        <v>51</v>
      </c>
      <c r="Y30" t="s">
        <v>61</v>
      </c>
      <c r="Z30" t="s">
        <v>52</v>
      </c>
      <c r="AA30" s="5">
        <f t="shared" si="4"/>
        <v>-18.3</v>
      </c>
      <c r="AB30" s="5">
        <f t="shared" si="5"/>
        <v>129</v>
      </c>
      <c r="AC30" t="s">
        <v>53</v>
      </c>
      <c r="AD30" t="s">
        <v>239</v>
      </c>
      <c r="AE30" s="8">
        <v>0.22529588817467611</v>
      </c>
      <c r="AF30" t="s">
        <v>246</v>
      </c>
      <c r="AG30" s="5">
        <f t="shared" si="6"/>
        <v>3.4</v>
      </c>
      <c r="AH30" s="5">
        <f t="shared" si="7"/>
        <v>1.2</v>
      </c>
      <c r="AI30" s="7">
        <v>34</v>
      </c>
      <c r="AJ30" s="7">
        <v>12</v>
      </c>
      <c r="AK30" s="7">
        <v>34</v>
      </c>
      <c r="AL30" s="7">
        <v>12</v>
      </c>
      <c r="AM30" t="s">
        <v>51</v>
      </c>
      <c r="AN30" t="s">
        <v>50</v>
      </c>
      <c r="AO30" s="5">
        <f t="shared" si="8"/>
        <v>28.5</v>
      </c>
      <c r="AP30" s="5">
        <f t="shared" si="9"/>
        <v>94.8</v>
      </c>
      <c r="AQ30" s="5">
        <v>-574.86999999999989</v>
      </c>
      <c r="AR30" s="8" t="s">
        <v>247</v>
      </c>
      <c r="AS30" t="s">
        <v>248</v>
      </c>
    </row>
    <row r="31" spans="1:45" x14ac:dyDescent="0.35">
      <c r="A31" t="s">
        <v>249</v>
      </c>
      <c r="B31">
        <v>1</v>
      </c>
      <c r="C31">
        <v>11</v>
      </c>
      <c r="D31" t="s">
        <v>236</v>
      </c>
      <c r="E31">
        <v>3</v>
      </c>
      <c r="F31" t="s">
        <v>47</v>
      </c>
      <c r="G31" s="6">
        <v>204</v>
      </c>
      <c r="H31" t="s">
        <v>250</v>
      </c>
      <c r="I31" t="s">
        <v>251</v>
      </c>
      <c r="J31" s="5">
        <f t="shared" si="0"/>
        <v>0.8</v>
      </c>
      <c r="K31" s="5">
        <f t="shared" si="1"/>
        <v>6.9</v>
      </c>
      <c r="L31" s="5">
        <f t="shared" si="2"/>
        <v>7.3</v>
      </c>
      <c r="M31" s="5">
        <v>-0.52</v>
      </c>
      <c r="N31" s="5">
        <f t="shared" si="3"/>
        <v>15</v>
      </c>
      <c r="P31"/>
      <c r="Q31" s="7">
        <v>8</v>
      </c>
      <c r="R31" s="7">
        <v>69</v>
      </c>
      <c r="S31" s="7">
        <v>73</v>
      </c>
      <c r="T31" s="7">
        <v>8</v>
      </c>
      <c r="U31" s="7">
        <v>69</v>
      </c>
      <c r="V31" s="7">
        <v>73</v>
      </c>
      <c r="W31" t="s">
        <v>50</v>
      </c>
      <c r="X31" t="s">
        <v>61</v>
      </c>
      <c r="Y31" t="s">
        <v>61</v>
      </c>
      <c r="Z31" t="s">
        <v>102</v>
      </c>
      <c r="AA31" s="5">
        <f t="shared" si="4"/>
        <v>-37.96</v>
      </c>
      <c r="AB31" s="5">
        <f t="shared" si="5"/>
        <v>150</v>
      </c>
      <c r="AC31" t="s">
        <v>53</v>
      </c>
      <c r="AD31" t="s">
        <v>239</v>
      </c>
      <c r="AE31" s="8">
        <v>0.22844607693092539</v>
      </c>
      <c r="AF31" t="s">
        <v>252</v>
      </c>
      <c r="AG31" s="5">
        <f t="shared" si="6"/>
        <v>3</v>
      </c>
      <c r="AH31" s="5">
        <f t="shared" si="7"/>
        <v>0.6</v>
      </c>
      <c r="AI31" s="7">
        <v>30</v>
      </c>
      <c r="AJ31" s="7">
        <v>6</v>
      </c>
      <c r="AK31" s="7">
        <v>30</v>
      </c>
      <c r="AL31" s="7">
        <v>6</v>
      </c>
      <c r="AM31" t="s">
        <v>50</v>
      </c>
      <c r="AN31" t="s">
        <v>50</v>
      </c>
      <c r="AO31" s="5">
        <f t="shared" si="8"/>
        <v>24</v>
      </c>
      <c r="AP31" s="5">
        <f t="shared" si="9"/>
        <v>104.1</v>
      </c>
      <c r="AQ31" s="5">
        <v>-612.82999999999993</v>
      </c>
      <c r="AR31" s="8" t="s">
        <v>253</v>
      </c>
      <c r="AS31" t="s">
        <v>254</v>
      </c>
    </row>
    <row r="32" spans="1:45" x14ac:dyDescent="0.35">
      <c r="A32" t="s">
        <v>255</v>
      </c>
      <c r="B32">
        <v>1</v>
      </c>
      <c r="C32">
        <v>12</v>
      </c>
      <c r="D32" t="s">
        <v>256</v>
      </c>
      <c r="E32">
        <v>1</v>
      </c>
      <c r="F32" t="s">
        <v>79</v>
      </c>
      <c r="G32" s="6">
        <v>796</v>
      </c>
      <c r="H32" t="s">
        <v>257</v>
      </c>
      <c r="I32" t="s">
        <v>258</v>
      </c>
      <c r="J32" s="5">
        <f t="shared" si="0"/>
        <v>6.1</v>
      </c>
      <c r="K32" s="5">
        <f t="shared" si="1"/>
        <v>8.4</v>
      </c>
      <c r="L32" s="5">
        <f t="shared" si="2"/>
        <v>8.1</v>
      </c>
      <c r="M32" s="5">
        <v>-0.48</v>
      </c>
      <c r="N32" s="5">
        <f t="shared" si="3"/>
        <v>22.6</v>
      </c>
      <c r="P32"/>
      <c r="Q32" s="7">
        <v>61</v>
      </c>
      <c r="R32" s="7">
        <v>84</v>
      </c>
      <c r="S32" s="7">
        <v>81</v>
      </c>
      <c r="T32" s="7">
        <v>61</v>
      </c>
      <c r="U32" s="7">
        <v>84</v>
      </c>
      <c r="V32" s="7">
        <v>81</v>
      </c>
      <c r="W32" t="s">
        <v>61</v>
      </c>
      <c r="X32" t="s">
        <v>61</v>
      </c>
      <c r="Y32" t="s">
        <v>61</v>
      </c>
      <c r="Z32" t="s">
        <v>102</v>
      </c>
      <c r="AA32" s="5">
        <f t="shared" si="4"/>
        <v>-38.880000000000003</v>
      </c>
      <c r="AB32" s="5">
        <f t="shared" si="5"/>
        <v>226</v>
      </c>
      <c r="AC32" t="s">
        <v>53</v>
      </c>
      <c r="AD32" t="s">
        <v>259</v>
      </c>
      <c r="AE32" s="8">
        <v>0.23163452708907251</v>
      </c>
      <c r="AF32" t="s">
        <v>260</v>
      </c>
      <c r="AG32" s="5">
        <f t="shared" si="6"/>
        <v>5.8</v>
      </c>
      <c r="AH32" s="5">
        <f t="shared" si="7"/>
        <v>0.4</v>
      </c>
      <c r="AI32" s="7">
        <v>58</v>
      </c>
      <c r="AJ32" s="7">
        <v>4</v>
      </c>
      <c r="AK32" s="7">
        <v>58</v>
      </c>
      <c r="AL32" s="7">
        <v>4</v>
      </c>
      <c r="AM32" t="s">
        <v>51</v>
      </c>
      <c r="AN32" t="s">
        <v>50</v>
      </c>
      <c r="AO32" s="5">
        <f t="shared" si="8"/>
        <v>44.5</v>
      </c>
      <c r="AP32" s="5">
        <f t="shared" si="9"/>
        <v>174.5</v>
      </c>
      <c r="AQ32" s="5">
        <v>-651.70999999999992</v>
      </c>
      <c r="AR32" s="8" t="s">
        <v>261</v>
      </c>
      <c r="AS32" t="s">
        <v>262</v>
      </c>
    </row>
    <row r="33" spans="1:45" x14ac:dyDescent="0.35">
      <c r="A33" t="s">
        <v>263</v>
      </c>
      <c r="B33">
        <v>1</v>
      </c>
      <c r="C33">
        <v>12</v>
      </c>
      <c r="D33" t="s">
        <v>256</v>
      </c>
      <c r="E33">
        <v>2</v>
      </c>
      <c r="F33" t="s">
        <v>79</v>
      </c>
      <c r="G33" s="6">
        <v>940</v>
      </c>
      <c r="H33" t="s">
        <v>264</v>
      </c>
      <c r="I33" t="s">
        <v>265</v>
      </c>
      <c r="J33" s="5">
        <f t="shared" si="0"/>
        <v>1.8</v>
      </c>
      <c r="K33" s="5">
        <f t="shared" si="1"/>
        <v>8.8000000000000007</v>
      </c>
      <c r="L33" s="5">
        <f t="shared" si="2"/>
        <v>8.6</v>
      </c>
      <c r="M33" s="5">
        <v>-0.56000000000000005</v>
      </c>
      <c r="N33" s="5">
        <f t="shared" si="3"/>
        <v>19.2</v>
      </c>
      <c r="P33"/>
      <c r="Q33" s="7">
        <v>18</v>
      </c>
      <c r="R33" s="7">
        <v>88</v>
      </c>
      <c r="S33" s="7">
        <v>86</v>
      </c>
      <c r="T33" s="7">
        <v>18</v>
      </c>
      <c r="U33" s="7">
        <v>88</v>
      </c>
      <c r="V33" s="7">
        <v>86</v>
      </c>
      <c r="W33" t="s">
        <v>50</v>
      </c>
      <c r="X33" t="s">
        <v>61</v>
      </c>
      <c r="Y33" t="s">
        <v>61</v>
      </c>
      <c r="Z33" t="s">
        <v>102</v>
      </c>
      <c r="AA33" s="5">
        <f t="shared" si="4"/>
        <v>-48.16</v>
      </c>
      <c r="AB33" s="5">
        <f t="shared" si="5"/>
        <v>192</v>
      </c>
      <c r="AC33" t="s">
        <v>53</v>
      </c>
      <c r="AD33" t="s">
        <v>259</v>
      </c>
      <c r="AE33" s="8">
        <v>0.23716967656361601</v>
      </c>
      <c r="AF33" t="s">
        <v>266</v>
      </c>
      <c r="AG33" s="5">
        <f t="shared" si="6"/>
        <v>4.2</v>
      </c>
      <c r="AH33" s="5">
        <f t="shared" si="7"/>
        <v>0.4</v>
      </c>
      <c r="AI33" s="7">
        <v>42</v>
      </c>
      <c r="AJ33" s="7">
        <v>4</v>
      </c>
      <c r="AK33" s="7">
        <v>42</v>
      </c>
      <c r="AL33" s="7">
        <v>4</v>
      </c>
      <c r="AM33" t="s">
        <v>51</v>
      </c>
      <c r="AN33" t="s">
        <v>50</v>
      </c>
      <c r="AO33" s="5">
        <f t="shared" si="8"/>
        <v>32.5</v>
      </c>
      <c r="AP33" s="5">
        <f t="shared" si="9"/>
        <v>138.94999999999999</v>
      </c>
      <c r="AQ33" s="5">
        <v>-699.86999999999989</v>
      </c>
      <c r="AR33" s="8" t="s">
        <v>267</v>
      </c>
      <c r="AS33" t="s">
        <v>268</v>
      </c>
    </row>
    <row r="34" spans="1:45" x14ac:dyDescent="0.35">
      <c r="A34" t="s">
        <v>269</v>
      </c>
      <c r="B34">
        <v>2</v>
      </c>
      <c r="C34">
        <v>13</v>
      </c>
      <c r="D34" t="s">
        <v>270</v>
      </c>
      <c r="E34">
        <v>1</v>
      </c>
      <c r="F34" t="s">
        <v>47</v>
      </c>
      <c r="G34" s="6">
        <v>1893</v>
      </c>
      <c r="H34" t="s">
        <v>271</v>
      </c>
      <c r="I34" t="s">
        <v>272</v>
      </c>
      <c r="J34" s="5">
        <f t="shared" ref="J34:J65" si="10">ROUND(T34/10,2)</f>
        <v>2.4</v>
      </c>
      <c r="K34" s="5">
        <f t="shared" ref="K34:K65" si="11">ROUND(U34/10,2)</f>
        <v>8.6</v>
      </c>
      <c r="L34" s="5">
        <f t="shared" ref="L34:L65" si="12">ROUND(V34/10,2)</f>
        <v>8.1999999999999993</v>
      </c>
      <c r="M34" s="5">
        <v>-0.18</v>
      </c>
      <c r="N34" s="5">
        <f t="shared" ref="N34:N65" si="13">ROUND(J34+K34+L34,2)</f>
        <v>19.2</v>
      </c>
      <c r="P34"/>
      <c r="Q34" s="7">
        <v>24</v>
      </c>
      <c r="R34" s="7">
        <v>86</v>
      </c>
      <c r="S34" s="7">
        <v>82</v>
      </c>
      <c r="T34" s="7">
        <v>24</v>
      </c>
      <c r="U34" s="7">
        <v>86</v>
      </c>
      <c r="V34" s="7">
        <v>82</v>
      </c>
      <c r="W34" t="s">
        <v>50</v>
      </c>
      <c r="X34" t="s">
        <v>61</v>
      </c>
      <c r="Y34" t="s">
        <v>61</v>
      </c>
      <c r="Z34" t="s">
        <v>52</v>
      </c>
      <c r="AA34" s="5">
        <f t="shared" ref="AA34:AA65" si="14">ROUND(V34*M34,2)</f>
        <v>-14.76</v>
      </c>
      <c r="AB34" s="5">
        <f t="shared" ref="AB34:AB65" si="15">T34+U34+V34</f>
        <v>192</v>
      </c>
      <c r="AC34" t="s">
        <v>53</v>
      </c>
      <c r="AD34" t="s">
        <v>273</v>
      </c>
      <c r="AE34" s="8">
        <v>0.2462025558616468</v>
      </c>
      <c r="AF34" t="s">
        <v>274</v>
      </c>
      <c r="AG34" s="5">
        <f t="shared" ref="AG34:AG65" si="16">ROUND(AK34/10,2)</f>
        <v>8.8000000000000007</v>
      </c>
      <c r="AH34" s="5">
        <f t="shared" ref="AH34:AH65" si="17">ROUND(AL34/10,2)</f>
        <v>1.2</v>
      </c>
      <c r="AI34" s="7">
        <v>88</v>
      </c>
      <c r="AJ34" s="7">
        <v>12</v>
      </c>
      <c r="AK34" s="7">
        <v>88</v>
      </c>
      <c r="AL34" s="7">
        <v>12</v>
      </c>
      <c r="AM34" t="s">
        <v>61</v>
      </c>
      <c r="AN34" t="s">
        <v>50</v>
      </c>
      <c r="AO34" s="5">
        <f t="shared" ref="AO34:AO65" si="18">ROUND(0.75*AK34+0.25*AL34,2)</f>
        <v>69</v>
      </c>
      <c r="AP34" s="5">
        <f t="shared" ref="AP34:AP65" si="19">ROUND(0.55*AB34+0.45*AO34+0.3*(AB34*AO34/100),2)</f>
        <v>176.39</v>
      </c>
      <c r="AQ34" s="5">
        <v>-714.62999999999988</v>
      </c>
      <c r="AR34" s="8" t="s">
        <v>275</v>
      </c>
      <c r="AS34" t="s">
        <v>276</v>
      </c>
    </row>
    <row r="35" spans="1:45" x14ac:dyDescent="0.35">
      <c r="A35" t="s">
        <v>277</v>
      </c>
      <c r="B35">
        <v>2</v>
      </c>
      <c r="C35">
        <v>13</v>
      </c>
      <c r="D35" t="s">
        <v>270</v>
      </c>
      <c r="E35">
        <v>2</v>
      </c>
      <c r="F35" t="s">
        <v>79</v>
      </c>
      <c r="G35" s="6">
        <v>1337</v>
      </c>
      <c r="H35" t="s">
        <v>278</v>
      </c>
      <c r="I35" t="s">
        <v>279</v>
      </c>
      <c r="J35" s="5">
        <f t="shared" si="10"/>
        <v>1.2</v>
      </c>
      <c r="K35" s="5">
        <f t="shared" si="11"/>
        <v>7.2</v>
      </c>
      <c r="L35" s="5">
        <f t="shared" si="12"/>
        <v>7.7</v>
      </c>
      <c r="M35" s="5">
        <v>-0.08</v>
      </c>
      <c r="N35" s="5">
        <f t="shared" si="13"/>
        <v>16.100000000000001</v>
      </c>
      <c r="P35"/>
      <c r="Q35" s="7">
        <v>12</v>
      </c>
      <c r="R35" s="7">
        <v>72</v>
      </c>
      <c r="S35" s="7">
        <v>77</v>
      </c>
      <c r="T35" s="7">
        <v>12</v>
      </c>
      <c r="U35" s="7">
        <v>72</v>
      </c>
      <c r="V35" s="7">
        <v>77</v>
      </c>
      <c r="W35" t="s">
        <v>50</v>
      </c>
      <c r="X35" t="s">
        <v>61</v>
      </c>
      <c r="Y35" t="s">
        <v>61</v>
      </c>
      <c r="Z35" t="s">
        <v>52</v>
      </c>
      <c r="AA35" s="5">
        <f t="shared" si="14"/>
        <v>-6.16</v>
      </c>
      <c r="AB35" s="5">
        <f t="shared" si="15"/>
        <v>161</v>
      </c>
      <c r="AC35" t="s">
        <v>53</v>
      </c>
      <c r="AD35" t="s">
        <v>273</v>
      </c>
      <c r="AE35" s="8">
        <v>0.25650124987246198</v>
      </c>
      <c r="AF35" t="s">
        <v>280</v>
      </c>
      <c r="AG35" s="5">
        <f t="shared" si="16"/>
        <v>8</v>
      </c>
      <c r="AH35" s="5">
        <f t="shared" si="17"/>
        <v>2</v>
      </c>
      <c r="AI35" s="7">
        <v>80</v>
      </c>
      <c r="AJ35" s="7">
        <v>20</v>
      </c>
      <c r="AK35" s="7">
        <v>80</v>
      </c>
      <c r="AL35" s="7">
        <v>20</v>
      </c>
      <c r="AM35" t="s">
        <v>61</v>
      </c>
      <c r="AN35" t="s">
        <v>50</v>
      </c>
      <c r="AO35" s="5">
        <f t="shared" si="18"/>
        <v>65</v>
      </c>
      <c r="AP35" s="5">
        <f t="shared" si="19"/>
        <v>149.19999999999999</v>
      </c>
      <c r="AQ35" s="5">
        <v>-720.78999999999985</v>
      </c>
      <c r="AR35" s="8" t="s">
        <v>281</v>
      </c>
      <c r="AS35" t="s">
        <v>282</v>
      </c>
    </row>
    <row r="36" spans="1:45" x14ac:dyDescent="0.35">
      <c r="A36" t="s">
        <v>283</v>
      </c>
      <c r="B36">
        <v>2</v>
      </c>
      <c r="C36">
        <v>14</v>
      </c>
      <c r="D36" t="s">
        <v>284</v>
      </c>
      <c r="E36">
        <v>1</v>
      </c>
      <c r="F36" t="s">
        <v>47</v>
      </c>
      <c r="G36" s="6">
        <v>1174</v>
      </c>
      <c r="H36" t="s">
        <v>285</v>
      </c>
      <c r="I36" t="s">
        <v>286</v>
      </c>
      <c r="J36" s="5">
        <f t="shared" si="10"/>
        <v>1.6</v>
      </c>
      <c r="K36" s="5">
        <f t="shared" si="11"/>
        <v>6.8</v>
      </c>
      <c r="L36" s="5">
        <f t="shared" si="12"/>
        <v>6.6</v>
      </c>
      <c r="M36" s="5">
        <v>-0.14000000000000001</v>
      </c>
      <c r="N36" s="5">
        <f t="shared" si="13"/>
        <v>15</v>
      </c>
      <c r="P36"/>
      <c r="Q36" s="7">
        <v>16</v>
      </c>
      <c r="R36" s="7">
        <v>68</v>
      </c>
      <c r="S36" s="7">
        <v>66</v>
      </c>
      <c r="T36" s="7">
        <v>16</v>
      </c>
      <c r="U36" s="7">
        <v>68</v>
      </c>
      <c r="V36" s="7">
        <v>66</v>
      </c>
      <c r="W36" t="s">
        <v>50</v>
      </c>
      <c r="X36" t="s">
        <v>61</v>
      </c>
      <c r="Y36" t="s">
        <v>61</v>
      </c>
      <c r="Z36" t="s">
        <v>52</v>
      </c>
      <c r="AA36" s="5">
        <f t="shared" si="14"/>
        <v>-9.24</v>
      </c>
      <c r="AB36" s="5">
        <f t="shared" si="15"/>
        <v>150</v>
      </c>
      <c r="AC36" t="s">
        <v>53</v>
      </c>
      <c r="AD36" t="s">
        <v>287</v>
      </c>
      <c r="AE36" s="8">
        <v>0.26450744821956951</v>
      </c>
      <c r="AF36" t="s">
        <v>288</v>
      </c>
      <c r="AG36" s="5">
        <f t="shared" si="16"/>
        <v>7.8</v>
      </c>
      <c r="AH36" s="5">
        <f t="shared" si="17"/>
        <v>2.2000000000000002</v>
      </c>
      <c r="AI36" s="7">
        <v>78</v>
      </c>
      <c r="AJ36" s="7">
        <v>22</v>
      </c>
      <c r="AK36" s="7">
        <v>78</v>
      </c>
      <c r="AL36" s="7">
        <v>22</v>
      </c>
      <c r="AM36" t="s">
        <v>61</v>
      </c>
      <c r="AN36" t="s">
        <v>50</v>
      </c>
      <c r="AO36" s="5">
        <f t="shared" si="18"/>
        <v>64</v>
      </c>
      <c r="AP36" s="5">
        <f t="shared" si="19"/>
        <v>140.1</v>
      </c>
      <c r="AQ36" s="5">
        <v>-730.02999999999986</v>
      </c>
      <c r="AR36" s="8" t="s">
        <v>289</v>
      </c>
      <c r="AS36" t="s">
        <v>290</v>
      </c>
    </row>
    <row r="37" spans="1:45" x14ac:dyDescent="0.35">
      <c r="A37" t="s">
        <v>291</v>
      </c>
      <c r="B37">
        <v>2</v>
      </c>
      <c r="C37">
        <v>14</v>
      </c>
      <c r="D37" t="s">
        <v>284</v>
      </c>
      <c r="E37">
        <v>2</v>
      </c>
      <c r="F37" t="s">
        <v>79</v>
      </c>
      <c r="G37" s="6">
        <v>1641</v>
      </c>
      <c r="H37" t="s">
        <v>292</v>
      </c>
      <c r="I37" t="s">
        <v>293</v>
      </c>
      <c r="J37" s="5">
        <f t="shared" si="10"/>
        <v>5.5</v>
      </c>
      <c r="K37" s="5">
        <f t="shared" si="11"/>
        <v>8.1999999999999993</v>
      </c>
      <c r="L37" s="5">
        <f t="shared" si="12"/>
        <v>7.4</v>
      </c>
      <c r="M37" s="5">
        <v>-0.18</v>
      </c>
      <c r="N37" s="5">
        <f t="shared" si="13"/>
        <v>21.1</v>
      </c>
      <c r="P37"/>
      <c r="Q37" s="7">
        <v>55</v>
      </c>
      <c r="R37" s="7">
        <v>82</v>
      </c>
      <c r="S37" s="7">
        <v>74</v>
      </c>
      <c r="T37" s="7">
        <v>55</v>
      </c>
      <c r="U37" s="7">
        <v>82</v>
      </c>
      <c r="V37" s="7">
        <v>74</v>
      </c>
      <c r="W37" t="s">
        <v>51</v>
      </c>
      <c r="X37" t="s">
        <v>61</v>
      </c>
      <c r="Y37" t="s">
        <v>61</v>
      </c>
      <c r="Z37" t="s">
        <v>52</v>
      </c>
      <c r="AA37" s="5">
        <f t="shared" si="14"/>
        <v>-13.32</v>
      </c>
      <c r="AB37" s="5">
        <f t="shared" si="15"/>
        <v>211</v>
      </c>
      <c r="AC37" t="s">
        <v>53</v>
      </c>
      <c r="AD37" t="s">
        <v>287</v>
      </c>
      <c r="AE37" s="8">
        <v>0.2734829354147536</v>
      </c>
      <c r="AF37" t="s">
        <v>294</v>
      </c>
      <c r="AG37" s="5">
        <f t="shared" si="16"/>
        <v>5.2</v>
      </c>
      <c r="AH37" s="5">
        <f t="shared" si="17"/>
        <v>0.8</v>
      </c>
      <c r="AI37" s="7">
        <v>52</v>
      </c>
      <c r="AJ37" s="7">
        <v>8</v>
      </c>
      <c r="AK37" s="7">
        <v>52</v>
      </c>
      <c r="AL37" s="7">
        <v>8</v>
      </c>
      <c r="AM37" t="s">
        <v>51</v>
      </c>
      <c r="AN37" t="s">
        <v>50</v>
      </c>
      <c r="AO37" s="5">
        <f t="shared" si="18"/>
        <v>41</v>
      </c>
      <c r="AP37" s="5">
        <f t="shared" si="19"/>
        <v>160.44999999999999</v>
      </c>
      <c r="AQ37" s="5">
        <v>-743.34999999999991</v>
      </c>
      <c r="AR37" s="8" t="s">
        <v>295</v>
      </c>
      <c r="AS37" t="s">
        <v>296</v>
      </c>
    </row>
    <row r="38" spans="1:45" x14ac:dyDescent="0.35">
      <c r="A38" t="s">
        <v>297</v>
      </c>
      <c r="B38">
        <v>2</v>
      </c>
      <c r="C38">
        <v>14</v>
      </c>
      <c r="D38" t="s">
        <v>284</v>
      </c>
      <c r="E38">
        <v>3</v>
      </c>
      <c r="F38" t="s">
        <v>79</v>
      </c>
      <c r="G38" s="6">
        <v>1196</v>
      </c>
      <c r="H38" t="s">
        <v>298</v>
      </c>
      <c r="I38" t="s">
        <v>299</v>
      </c>
      <c r="J38" s="5">
        <f t="shared" si="10"/>
        <v>2.2000000000000002</v>
      </c>
      <c r="K38" s="5">
        <f t="shared" si="11"/>
        <v>7.4</v>
      </c>
      <c r="L38" s="5">
        <f t="shared" si="12"/>
        <v>7.1</v>
      </c>
      <c r="M38" s="5">
        <v>-0.22</v>
      </c>
      <c r="N38" s="5">
        <f t="shared" si="13"/>
        <v>16.7</v>
      </c>
      <c r="P38"/>
      <c r="Q38" s="7">
        <v>22</v>
      </c>
      <c r="R38" s="7">
        <v>74</v>
      </c>
      <c r="S38" s="7">
        <v>71</v>
      </c>
      <c r="T38" s="7">
        <v>22</v>
      </c>
      <c r="U38" s="7">
        <v>74</v>
      </c>
      <c r="V38" s="7">
        <v>71</v>
      </c>
      <c r="W38" t="s">
        <v>50</v>
      </c>
      <c r="X38" t="s">
        <v>61</v>
      </c>
      <c r="Y38" t="s">
        <v>61</v>
      </c>
      <c r="Z38" t="s">
        <v>52</v>
      </c>
      <c r="AA38" s="5">
        <f t="shared" si="14"/>
        <v>-15.62</v>
      </c>
      <c r="AB38" s="5">
        <f t="shared" si="15"/>
        <v>167</v>
      </c>
      <c r="AC38" t="s">
        <v>53</v>
      </c>
      <c r="AD38" t="s">
        <v>287</v>
      </c>
      <c r="AE38" s="8">
        <v>0.28252856851341701</v>
      </c>
      <c r="AF38" t="s">
        <v>300</v>
      </c>
      <c r="AG38" s="5">
        <f t="shared" si="16"/>
        <v>7</v>
      </c>
      <c r="AH38" s="5">
        <f t="shared" si="17"/>
        <v>1</v>
      </c>
      <c r="AI38" s="7">
        <v>70</v>
      </c>
      <c r="AJ38" s="7">
        <v>10</v>
      </c>
      <c r="AK38" s="7">
        <v>70</v>
      </c>
      <c r="AL38" s="7">
        <v>10</v>
      </c>
      <c r="AM38" t="s">
        <v>61</v>
      </c>
      <c r="AN38" t="s">
        <v>50</v>
      </c>
      <c r="AO38" s="5">
        <f t="shared" si="18"/>
        <v>55</v>
      </c>
      <c r="AP38" s="5">
        <f t="shared" si="19"/>
        <v>144.16</v>
      </c>
      <c r="AQ38" s="5">
        <v>-758.96999999999991</v>
      </c>
      <c r="AR38" s="8" t="s">
        <v>301</v>
      </c>
      <c r="AS38" t="s">
        <v>302</v>
      </c>
    </row>
    <row r="39" spans="1:45" x14ac:dyDescent="0.35">
      <c r="A39" t="s">
        <v>303</v>
      </c>
      <c r="B39">
        <v>2</v>
      </c>
      <c r="C39">
        <v>15</v>
      </c>
      <c r="D39" t="s">
        <v>304</v>
      </c>
      <c r="E39">
        <v>1</v>
      </c>
      <c r="F39" t="s">
        <v>47</v>
      </c>
      <c r="G39" s="6">
        <v>892</v>
      </c>
      <c r="H39" t="s">
        <v>305</v>
      </c>
      <c r="I39" t="s">
        <v>306</v>
      </c>
      <c r="J39" s="5">
        <f t="shared" si="10"/>
        <v>3.4</v>
      </c>
      <c r="K39" s="5">
        <f t="shared" si="11"/>
        <v>6</v>
      </c>
      <c r="L39" s="5">
        <f t="shared" si="12"/>
        <v>6.5</v>
      </c>
      <c r="M39" s="5">
        <v>-0.12</v>
      </c>
      <c r="N39" s="5">
        <f t="shared" si="13"/>
        <v>15.9</v>
      </c>
      <c r="P39"/>
      <c r="Q39" s="7">
        <v>34</v>
      </c>
      <c r="R39" s="7">
        <v>60</v>
      </c>
      <c r="S39" s="7">
        <v>65</v>
      </c>
      <c r="T39" s="7">
        <v>34</v>
      </c>
      <c r="U39" s="7">
        <v>60</v>
      </c>
      <c r="V39" s="7">
        <v>65</v>
      </c>
      <c r="W39" t="s">
        <v>51</v>
      </c>
      <c r="X39" t="s">
        <v>51</v>
      </c>
      <c r="Y39" t="s">
        <v>61</v>
      </c>
      <c r="Z39" t="s">
        <v>52</v>
      </c>
      <c r="AA39" s="5">
        <f t="shared" si="14"/>
        <v>-7.8</v>
      </c>
      <c r="AB39" s="5">
        <f t="shared" si="15"/>
        <v>159</v>
      </c>
      <c r="AC39" t="s">
        <v>53</v>
      </c>
      <c r="AD39" t="s">
        <v>307</v>
      </c>
      <c r="AE39" s="8">
        <v>0.28918605244362822</v>
      </c>
      <c r="AF39" t="s">
        <v>308</v>
      </c>
      <c r="AG39" s="5">
        <f t="shared" si="16"/>
        <v>6.2</v>
      </c>
      <c r="AH39" s="5">
        <f t="shared" si="17"/>
        <v>1</v>
      </c>
      <c r="AI39" s="7">
        <v>62</v>
      </c>
      <c r="AJ39" s="7">
        <v>10</v>
      </c>
      <c r="AK39" s="7">
        <v>62</v>
      </c>
      <c r="AL39" s="7">
        <v>10</v>
      </c>
      <c r="AM39" t="s">
        <v>61</v>
      </c>
      <c r="AN39" t="s">
        <v>50</v>
      </c>
      <c r="AO39" s="5">
        <f t="shared" si="18"/>
        <v>49</v>
      </c>
      <c r="AP39" s="5">
        <f t="shared" si="19"/>
        <v>132.87</v>
      </c>
      <c r="AQ39" s="5">
        <v>-766.76999999999987</v>
      </c>
      <c r="AR39" s="8" t="s">
        <v>309</v>
      </c>
      <c r="AS39" t="s">
        <v>310</v>
      </c>
    </row>
    <row r="40" spans="1:45" x14ac:dyDescent="0.35">
      <c r="A40" t="s">
        <v>311</v>
      </c>
      <c r="B40">
        <v>2</v>
      </c>
      <c r="C40">
        <v>15</v>
      </c>
      <c r="D40" t="s">
        <v>304</v>
      </c>
      <c r="E40">
        <v>2</v>
      </c>
      <c r="F40" t="s">
        <v>79</v>
      </c>
      <c r="G40" s="6">
        <v>1884</v>
      </c>
      <c r="H40" t="s">
        <v>312</v>
      </c>
      <c r="I40" t="s">
        <v>313</v>
      </c>
      <c r="J40" s="5">
        <f t="shared" si="10"/>
        <v>3.6</v>
      </c>
      <c r="K40" s="5">
        <f t="shared" si="11"/>
        <v>7.8</v>
      </c>
      <c r="L40" s="5">
        <f t="shared" si="12"/>
        <v>7.9</v>
      </c>
      <c r="M40" s="5">
        <v>-0.2</v>
      </c>
      <c r="N40" s="5">
        <f t="shared" si="13"/>
        <v>19.3</v>
      </c>
      <c r="P40"/>
      <c r="Q40" s="7">
        <v>36</v>
      </c>
      <c r="R40" s="7">
        <v>78</v>
      </c>
      <c r="S40" s="7">
        <v>79</v>
      </c>
      <c r="T40" s="7">
        <v>36</v>
      </c>
      <c r="U40" s="7">
        <v>78</v>
      </c>
      <c r="V40" s="7">
        <v>79</v>
      </c>
      <c r="W40" t="s">
        <v>51</v>
      </c>
      <c r="X40" t="s">
        <v>61</v>
      </c>
      <c r="Y40" t="s">
        <v>61</v>
      </c>
      <c r="Z40" t="s">
        <v>52</v>
      </c>
      <c r="AA40" s="5">
        <f t="shared" si="14"/>
        <v>-15.8</v>
      </c>
      <c r="AB40" s="5">
        <f t="shared" si="15"/>
        <v>193</v>
      </c>
      <c r="AC40" t="s">
        <v>53</v>
      </c>
      <c r="AD40" t="s">
        <v>307</v>
      </c>
      <c r="AE40" s="8">
        <v>0.29803719008264462</v>
      </c>
      <c r="AF40" t="s">
        <v>314</v>
      </c>
      <c r="AG40" s="5">
        <f t="shared" si="16"/>
        <v>7.2</v>
      </c>
      <c r="AH40" s="5">
        <f t="shared" si="17"/>
        <v>1.8</v>
      </c>
      <c r="AI40" s="7">
        <v>72</v>
      </c>
      <c r="AJ40" s="7">
        <v>18</v>
      </c>
      <c r="AK40" s="7">
        <v>72</v>
      </c>
      <c r="AL40" s="7">
        <v>18</v>
      </c>
      <c r="AM40" t="s">
        <v>61</v>
      </c>
      <c r="AN40" t="s">
        <v>50</v>
      </c>
      <c r="AO40" s="5">
        <f t="shared" si="18"/>
        <v>58.5</v>
      </c>
      <c r="AP40" s="5">
        <f t="shared" si="19"/>
        <v>166.35</v>
      </c>
      <c r="AQ40" s="5">
        <v>-782.56999999999982</v>
      </c>
      <c r="AR40" s="8" t="s">
        <v>315</v>
      </c>
      <c r="AS40" t="s">
        <v>316</v>
      </c>
    </row>
    <row r="41" spans="1:45" x14ac:dyDescent="0.35">
      <c r="A41" t="s">
        <v>317</v>
      </c>
      <c r="B41">
        <v>2</v>
      </c>
      <c r="C41">
        <v>15</v>
      </c>
      <c r="D41" t="s">
        <v>304</v>
      </c>
      <c r="E41">
        <v>3</v>
      </c>
      <c r="F41" t="s">
        <v>79</v>
      </c>
      <c r="G41" s="6">
        <v>1247</v>
      </c>
      <c r="H41" t="s">
        <v>318</v>
      </c>
      <c r="I41" t="s">
        <v>319</v>
      </c>
      <c r="J41" s="5">
        <f t="shared" si="10"/>
        <v>1.8</v>
      </c>
      <c r="K41" s="5">
        <f t="shared" si="11"/>
        <v>7.1</v>
      </c>
      <c r="L41" s="5">
        <f t="shared" si="12"/>
        <v>7.6</v>
      </c>
      <c r="M41" s="5">
        <v>-0.35</v>
      </c>
      <c r="N41" s="5">
        <f t="shared" si="13"/>
        <v>16.5</v>
      </c>
      <c r="P41"/>
      <c r="Q41" s="7">
        <v>18</v>
      </c>
      <c r="R41" s="7">
        <v>71</v>
      </c>
      <c r="S41" s="7">
        <v>76</v>
      </c>
      <c r="T41" s="7">
        <v>18</v>
      </c>
      <c r="U41" s="7">
        <v>71</v>
      </c>
      <c r="V41" s="7">
        <v>76</v>
      </c>
      <c r="W41" t="s">
        <v>50</v>
      </c>
      <c r="X41" t="s">
        <v>61</v>
      </c>
      <c r="Y41" t="s">
        <v>61</v>
      </c>
      <c r="Z41" t="s">
        <v>102</v>
      </c>
      <c r="AA41" s="5">
        <f t="shared" si="14"/>
        <v>-26.6</v>
      </c>
      <c r="AB41" s="5">
        <f t="shared" si="15"/>
        <v>165</v>
      </c>
      <c r="AC41" t="s">
        <v>53</v>
      </c>
      <c r="AD41" t="s">
        <v>307</v>
      </c>
      <c r="AE41" s="8">
        <v>0.30802022752780328</v>
      </c>
      <c r="AF41" t="s">
        <v>320</v>
      </c>
      <c r="AG41" s="5">
        <f t="shared" si="16"/>
        <v>8.4</v>
      </c>
      <c r="AH41" s="5">
        <f t="shared" si="17"/>
        <v>1.2</v>
      </c>
      <c r="AI41" s="7">
        <v>84</v>
      </c>
      <c r="AJ41" s="7">
        <v>12</v>
      </c>
      <c r="AK41" s="7">
        <v>84</v>
      </c>
      <c r="AL41" s="7">
        <v>12</v>
      </c>
      <c r="AM41" t="s">
        <v>61</v>
      </c>
      <c r="AN41" t="s">
        <v>50</v>
      </c>
      <c r="AO41" s="5">
        <f t="shared" si="18"/>
        <v>66</v>
      </c>
      <c r="AP41" s="5">
        <f t="shared" si="19"/>
        <v>153.12</v>
      </c>
      <c r="AQ41" s="5">
        <v>-809.16999999999985</v>
      </c>
      <c r="AR41" s="8" t="s">
        <v>321</v>
      </c>
      <c r="AS41" t="s">
        <v>322</v>
      </c>
    </row>
    <row r="42" spans="1:45" x14ac:dyDescent="0.35">
      <c r="A42" t="s">
        <v>323</v>
      </c>
      <c r="B42">
        <v>2</v>
      </c>
      <c r="C42">
        <v>16</v>
      </c>
      <c r="D42" t="s">
        <v>324</v>
      </c>
      <c r="E42">
        <v>1</v>
      </c>
      <c r="F42" t="s">
        <v>47</v>
      </c>
      <c r="G42" s="6">
        <v>1469</v>
      </c>
      <c r="H42" t="s">
        <v>325</v>
      </c>
      <c r="I42" t="s">
        <v>326</v>
      </c>
      <c r="J42" s="5">
        <f t="shared" si="10"/>
        <v>1.4</v>
      </c>
      <c r="K42" s="5">
        <f t="shared" si="11"/>
        <v>6.3</v>
      </c>
      <c r="L42" s="5">
        <f t="shared" si="12"/>
        <v>6.7</v>
      </c>
      <c r="M42" s="5">
        <v>0.05</v>
      </c>
      <c r="N42" s="5">
        <f t="shared" si="13"/>
        <v>14.4</v>
      </c>
      <c r="P42"/>
      <c r="Q42" s="7">
        <v>14</v>
      </c>
      <c r="R42" s="7">
        <v>63</v>
      </c>
      <c r="S42" s="7">
        <v>67</v>
      </c>
      <c r="T42" s="7">
        <v>14</v>
      </c>
      <c r="U42" s="7">
        <v>63</v>
      </c>
      <c r="V42" s="7">
        <v>67</v>
      </c>
      <c r="W42" t="s">
        <v>50</v>
      </c>
      <c r="X42" t="s">
        <v>61</v>
      </c>
      <c r="Y42" t="s">
        <v>61</v>
      </c>
      <c r="Z42" t="s">
        <v>52</v>
      </c>
      <c r="AA42" s="5">
        <f t="shared" si="14"/>
        <v>3.35</v>
      </c>
      <c r="AB42" s="5">
        <f t="shared" si="15"/>
        <v>144</v>
      </c>
      <c r="AC42" t="s">
        <v>53</v>
      </c>
      <c r="AD42" t="s">
        <v>327</v>
      </c>
      <c r="AE42" s="8">
        <v>0.31668005815733091</v>
      </c>
      <c r="AF42" t="s">
        <v>328</v>
      </c>
      <c r="AG42" s="5">
        <f t="shared" si="16"/>
        <v>5.8</v>
      </c>
      <c r="AH42" s="5">
        <f t="shared" si="17"/>
        <v>1</v>
      </c>
      <c r="AI42" s="7">
        <v>58</v>
      </c>
      <c r="AJ42" s="7">
        <v>10</v>
      </c>
      <c r="AK42" s="7">
        <v>58</v>
      </c>
      <c r="AL42" s="7">
        <v>10</v>
      </c>
      <c r="AM42" t="s">
        <v>51</v>
      </c>
      <c r="AN42" t="s">
        <v>50</v>
      </c>
      <c r="AO42" s="5">
        <f t="shared" si="18"/>
        <v>46</v>
      </c>
      <c r="AP42" s="5">
        <f t="shared" si="19"/>
        <v>119.77</v>
      </c>
      <c r="AQ42" s="5">
        <v>-805.81999999999982</v>
      </c>
      <c r="AR42" s="8" t="s">
        <v>329</v>
      </c>
      <c r="AS42" t="s">
        <v>330</v>
      </c>
    </row>
    <row r="43" spans="1:45" x14ac:dyDescent="0.35">
      <c r="A43" t="s">
        <v>331</v>
      </c>
      <c r="B43">
        <v>2</v>
      </c>
      <c r="C43">
        <v>16</v>
      </c>
      <c r="D43" t="s">
        <v>324</v>
      </c>
      <c r="E43">
        <v>2</v>
      </c>
      <c r="F43" t="s">
        <v>47</v>
      </c>
      <c r="G43" s="6">
        <v>1220</v>
      </c>
      <c r="H43" t="s">
        <v>332</v>
      </c>
      <c r="I43" t="s">
        <v>333</v>
      </c>
      <c r="J43" s="5">
        <f t="shared" si="10"/>
        <v>1</v>
      </c>
      <c r="K43" s="5">
        <f t="shared" si="11"/>
        <v>7.6</v>
      </c>
      <c r="L43" s="5">
        <f t="shared" si="12"/>
        <v>7.4</v>
      </c>
      <c r="M43" s="5">
        <v>0.15</v>
      </c>
      <c r="N43" s="5">
        <f t="shared" si="13"/>
        <v>16</v>
      </c>
      <c r="P43"/>
      <c r="Q43" s="7">
        <v>10</v>
      </c>
      <c r="R43" s="7">
        <v>76</v>
      </c>
      <c r="S43" s="7">
        <v>74</v>
      </c>
      <c r="T43" s="7">
        <v>10</v>
      </c>
      <c r="U43" s="7">
        <v>76</v>
      </c>
      <c r="V43" s="7">
        <v>74</v>
      </c>
      <c r="W43" t="s">
        <v>50</v>
      </c>
      <c r="X43" t="s">
        <v>61</v>
      </c>
      <c r="Y43" t="s">
        <v>61</v>
      </c>
      <c r="Z43" t="s">
        <v>52</v>
      </c>
      <c r="AA43" s="5">
        <f t="shared" si="14"/>
        <v>11.1</v>
      </c>
      <c r="AB43" s="5">
        <f t="shared" si="15"/>
        <v>160</v>
      </c>
      <c r="AC43" t="s">
        <v>53</v>
      </c>
      <c r="AD43" t="s">
        <v>327</v>
      </c>
      <c r="AE43" s="8">
        <v>0.32525380063258852</v>
      </c>
      <c r="AF43" t="s">
        <v>334</v>
      </c>
      <c r="AG43" s="5">
        <f t="shared" si="16"/>
        <v>8.1999999999999993</v>
      </c>
      <c r="AH43" s="5">
        <f t="shared" si="17"/>
        <v>0.6</v>
      </c>
      <c r="AI43" s="7">
        <v>82</v>
      </c>
      <c r="AJ43" s="7">
        <v>6</v>
      </c>
      <c r="AK43" s="7">
        <v>82</v>
      </c>
      <c r="AL43" s="7">
        <v>6</v>
      </c>
      <c r="AM43" t="s">
        <v>61</v>
      </c>
      <c r="AN43" t="s">
        <v>50</v>
      </c>
      <c r="AO43" s="5">
        <f t="shared" si="18"/>
        <v>63</v>
      </c>
      <c r="AP43" s="5">
        <f t="shared" si="19"/>
        <v>146.59</v>
      </c>
      <c r="AQ43" s="5">
        <v>-794.7199999999998</v>
      </c>
      <c r="AR43" s="8" t="s">
        <v>335</v>
      </c>
      <c r="AS43" t="s">
        <v>336</v>
      </c>
    </row>
    <row r="44" spans="1:45" x14ac:dyDescent="0.35">
      <c r="A44" t="s">
        <v>337</v>
      </c>
      <c r="B44">
        <v>2</v>
      </c>
      <c r="C44">
        <v>16</v>
      </c>
      <c r="D44" t="s">
        <v>324</v>
      </c>
      <c r="E44">
        <v>3</v>
      </c>
      <c r="F44" t="s">
        <v>47</v>
      </c>
      <c r="G44" s="6">
        <v>439</v>
      </c>
      <c r="H44" t="s">
        <v>338</v>
      </c>
      <c r="I44" t="s">
        <v>339</v>
      </c>
      <c r="J44" s="5">
        <f t="shared" si="10"/>
        <v>0.8</v>
      </c>
      <c r="K44" s="5">
        <f t="shared" si="11"/>
        <v>5.8</v>
      </c>
      <c r="L44" s="5">
        <f t="shared" si="12"/>
        <v>6.3</v>
      </c>
      <c r="M44" s="5">
        <v>-0.1</v>
      </c>
      <c r="N44" s="5">
        <f t="shared" si="13"/>
        <v>12.9</v>
      </c>
      <c r="P44"/>
      <c r="Q44" s="7">
        <v>8</v>
      </c>
      <c r="R44" s="7">
        <v>58</v>
      </c>
      <c r="S44" s="7">
        <v>63</v>
      </c>
      <c r="T44" s="7">
        <v>8</v>
      </c>
      <c r="U44" s="7">
        <v>58</v>
      </c>
      <c r="V44" s="7">
        <v>63</v>
      </c>
      <c r="W44" t="s">
        <v>50</v>
      </c>
      <c r="X44" t="s">
        <v>51</v>
      </c>
      <c r="Y44" t="s">
        <v>61</v>
      </c>
      <c r="Z44" t="s">
        <v>52</v>
      </c>
      <c r="AA44" s="5">
        <f t="shared" si="14"/>
        <v>-6.3</v>
      </c>
      <c r="AB44" s="5">
        <f t="shared" si="15"/>
        <v>129</v>
      </c>
      <c r="AC44" t="s">
        <v>53</v>
      </c>
      <c r="AD44" t="s">
        <v>327</v>
      </c>
      <c r="AE44" s="8">
        <v>0.33054343944495462</v>
      </c>
      <c r="AF44" t="s">
        <v>340</v>
      </c>
      <c r="AG44" s="5">
        <f t="shared" si="16"/>
        <v>5.2</v>
      </c>
      <c r="AH44" s="5">
        <f t="shared" si="17"/>
        <v>0.8</v>
      </c>
      <c r="AI44" s="7">
        <v>52</v>
      </c>
      <c r="AJ44" s="7">
        <v>8</v>
      </c>
      <c r="AK44" s="7">
        <v>52</v>
      </c>
      <c r="AL44" s="7">
        <v>8</v>
      </c>
      <c r="AM44" t="s">
        <v>51</v>
      </c>
      <c r="AN44" t="s">
        <v>50</v>
      </c>
      <c r="AO44" s="5">
        <f t="shared" si="18"/>
        <v>41</v>
      </c>
      <c r="AP44" s="5">
        <f t="shared" si="19"/>
        <v>105.27</v>
      </c>
      <c r="AQ44" s="5">
        <v>-801.01999999999975</v>
      </c>
      <c r="AR44" s="8" t="s">
        <v>341</v>
      </c>
      <c r="AS44" t="s">
        <v>342</v>
      </c>
    </row>
    <row r="45" spans="1:45" x14ac:dyDescent="0.35">
      <c r="A45" t="s">
        <v>343</v>
      </c>
      <c r="B45">
        <v>2</v>
      </c>
      <c r="C45">
        <v>17</v>
      </c>
      <c r="D45" t="s">
        <v>344</v>
      </c>
      <c r="E45">
        <v>1</v>
      </c>
      <c r="F45" t="s">
        <v>79</v>
      </c>
      <c r="G45" s="6">
        <v>1503</v>
      </c>
      <c r="H45" t="s">
        <v>345</v>
      </c>
      <c r="I45" t="s">
        <v>346</v>
      </c>
      <c r="J45" s="5">
        <f t="shared" si="10"/>
        <v>1.8</v>
      </c>
      <c r="K45" s="5">
        <f t="shared" si="11"/>
        <v>8.1999999999999993</v>
      </c>
      <c r="L45" s="5">
        <f t="shared" si="12"/>
        <v>8</v>
      </c>
      <c r="M45" s="5">
        <v>0.05</v>
      </c>
      <c r="N45" s="5">
        <f t="shared" si="13"/>
        <v>18</v>
      </c>
      <c r="P45"/>
      <c r="Q45" s="7">
        <v>18</v>
      </c>
      <c r="R45" s="7">
        <v>82</v>
      </c>
      <c r="S45" s="7">
        <v>80</v>
      </c>
      <c r="T45" s="7">
        <v>18</v>
      </c>
      <c r="U45" s="7">
        <v>82</v>
      </c>
      <c r="V45" s="7">
        <v>80</v>
      </c>
      <c r="W45" t="s">
        <v>50</v>
      </c>
      <c r="X45" t="s">
        <v>61</v>
      </c>
      <c r="Y45" t="s">
        <v>61</v>
      </c>
      <c r="Z45" t="s">
        <v>52</v>
      </c>
      <c r="AA45" s="5">
        <f t="shared" si="14"/>
        <v>4</v>
      </c>
      <c r="AB45" s="5">
        <f t="shared" si="15"/>
        <v>180</v>
      </c>
      <c r="AC45" t="s">
        <v>53</v>
      </c>
      <c r="AD45" t="s">
        <v>347</v>
      </c>
      <c r="AE45" s="8">
        <v>0.33673540965207632</v>
      </c>
      <c r="AF45" t="s">
        <v>348</v>
      </c>
      <c r="AG45" s="5">
        <f t="shared" si="16"/>
        <v>7.8</v>
      </c>
      <c r="AH45" s="5">
        <f t="shared" si="17"/>
        <v>1.2</v>
      </c>
      <c r="AI45" s="7">
        <v>78</v>
      </c>
      <c r="AJ45" s="7">
        <v>12</v>
      </c>
      <c r="AK45" s="7">
        <v>78</v>
      </c>
      <c r="AL45" s="7">
        <v>12</v>
      </c>
      <c r="AM45" t="s">
        <v>61</v>
      </c>
      <c r="AN45" t="s">
        <v>50</v>
      </c>
      <c r="AO45" s="5">
        <f t="shared" si="18"/>
        <v>61.5</v>
      </c>
      <c r="AP45" s="5">
        <f t="shared" si="19"/>
        <v>159.88999999999999</v>
      </c>
      <c r="AQ45" s="5">
        <v>-797.01999999999975</v>
      </c>
      <c r="AR45" s="8" t="s">
        <v>349</v>
      </c>
      <c r="AS45" t="s">
        <v>350</v>
      </c>
    </row>
    <row r="46" spans="1:45" x14ac:dyDescent="0.35">
      <c r="A46" t="s">
        <v>351</v>
      </c>
      <c r="B46">
        <v>2</v>
      </c>
      <c r="C46">
        <v>17</v>
      </c>
      <c r="D46" t="s">
        <v>344</v>
      </c>
      <c r="E46">
        <v>2</v>
      </c>
      <c r="F46" t="s">
        <v>79</v>
      </c>
      <c r="G46" s="6">
        <v>1087</v>
      </c>
      <c r="H46" t="s">
        <v>352</v>
      </c>
      <c r="I46" t="s">
        <v>353</v>
      </c>
      <c r="J46" s="5">
        <f t="shared" si="10"/>
        <v>6.6</v>
      </c>
      <c r="K46" s="5">
        <f t="shared" si="11"/>
        <v>7.2</v>
      </c>
      <c r="L46" s="5">
        <f t="shared" si="12"/>
        <v>7.8</v>
      </c>
      <c r="M46" s="5">
        <v>0.25</v>
      </c>
      <c r="N46" s="5">
        <f t="shared" si="13"/>
        <v>21.6</v>
      </c>
      <c r="P46"/>
      <c r="Q46" s="7">
        <v>66</v>
      </c>
      <c r="R46" s="7">
        <v>72</v>
      </c>
      <c r="S46" s="7">
        <v>78</v>
      </c>
      <c r="T46" s="7">
        <v>66</v>
      </c>
      <c r="U46" s="7">
        <v>72</v>
      </c>
      <c r="V46" s="7">
        <v>78</v>
      </c>
      <c r="W46" t="s">
        <v>61</v>
      </c>
      <c r="X46" t="s">
        <v>61</v>
      </c>
      <c r="Y46" t="s">
        <v>61</v>
      </c>
      <c r="Z46" t="s">
        <v>52</v>
      </c>
      <c r="AA46" s="5">
        <f t="shared" si="14"/>
        <v>19.5</v>
      </c>
      <c r="AB46" s="5">
        <f t="shared" si="15"/>
        <v>216</v>
      </c>
      <c r="AC46" t="s">
        <v>53</v>
      </c>
      <c r="AD46" t="s">
        <v>347</v>
      </c>
      <c r="AE46" s="8">
        <v>0.34499349556167741</v>
      </c>
      <c r="AF46" t="s">
        <v>354</v>
      </c>
      <c r="AG46" s="5">
        <f t="shared" si="16"/>
        <v>3.4</v>
      </c>
      <c r="AH46" s="5">
        <f t="shared" si="17"/>
        <v>1</v>
      </c>
      <c r="AI46" s="7">
        <v>34</v>
      </c>
      <c r="AJ46" s="7">
        <v>10</v>
      </c>
      <c r="AK46" s="7">
        <v>34</v>
      </c>
      <c r="AL46" s="7">
        <v>10</v>
      </c>
      <c r="AM46" t="s">
        <v>51</v>
      </c>
      <c r="AN46" t="s">
        <v>50</v>
      </c>
      <c r="AO46" s="5">
        <f t="shared" si="18"/>
        <v>28</v>
      </c>
      <c r="AP46" s="5">
        <f t="shared" si="19"/>
        <v>149.54</v>
      </c>
      <c r="AQ46" s="5">
        <v>-777.51999999999975</v>
      </c>
      <c r="AR46" s="8" t="s">
        <v>355</v>
      </c>
      <c r="AS46" t="s">
        <v>356</v>
      </c>
    </row>
    <row r="47" spans="1:45" x14ac:dyDescent="0.35">
      <c r="A47" t="s">
        <v>357</v>
      </c>
      <c r="B47">
        <v>2</v>
      </c>
      <c r="C47">
        <v>17</v>
      </c>
      <c r="D47" t="s">
        <v>344</v>
      </c>
      <c r="E47">
        <v>3</v>
      </c>
      <c r="F47" t="s">
        <v>79</v>
      </c>
      <c r="G47" s="6">
        <v>1988</v>
      </c>
      <c r="H47" t="s">
        <v>358</v>
      </c>
      <c r="I47" t="s">
        <v>359</v>
      </c>
      <c r="J47" s="5">
        <f t="shared" si="10"/>
        <v>8.4</v>
      </c>
      <c r="K47" s="5">
        <f t="shared" si="11"/>
        <v>8.3000000000000007</v>
      </c>
      <c r="L47" s="5">
        <f t="shared" si="12"/>
        <v>8.1</v>
      </c>
      <c r="M47" s="5">
        <v>0.12</v>
      </c>
      <c r="N47" s="5">
        <f t="shared" si="13"/>
        <v>24.8</v>
      </c>
      <c r="P47"/>
      <c r="Q47" s="7">
        <v>84</v>
      </c>
      <c r="R47" s="7">
        <v>83</v>
      </c>
      <c r="S47" s="7">
        <v>81</v>
      </c>
      <c r="T47" s="7">
        <v>84</v>
      </c>
      <c r="U47" s="7">
        <v>83</v>
      </c>
      <c r="V47" s="7">
        <v>81</v>
      </c>
      <c r="W47" t="s">
        <v>61</v>
      </c>
      <c r="X47" t="s">
        <v>61</v>
      </c>
      <c r="Y47" t="s">
        <v>61</v>
      </c>
      <c r="Z47" t="s">
        <v>52</v>
      </c>
      <c r="AA47" s="5">
        <f t="shared" si="14"/>
        <v>9.7200000000000006</v>
      </c>
      <c r="AB47" s="5">
        <f t="shared" si="15"/>
        <v>248</v>
      </c>
      <c r="AC47" t="s">
        <v>53</v>
      </c>
      <c r="AD47" t="s">
        <v>347</v>
      </c>
      <c r="AE47" s="8">
        <v>0.35479797979797978</v>
      </c>
      <c r="AF47" t="s">
        <v>360</v>
      </c>
      <c r="AG47" s="5">
        <f t="shared" si="16"/>
        <v>4.8</v>
      </c>
      <c r="AH47" s="5">
        <f t="shared" si="17"/>
        <v>1.2</v>
      </c>
      <c r="AI47" s="7">
        <v>48</v>
      </c>
      <c r="AJ47" s="7">
        <v>12</v>
      </c>
      <c r="AK47" s="7">
        <v>48</v>
      </c>
      <c r="AL47" s="7">
        <v>12</v>
      </c>
      <c r="AM47" t="s">
        <v>51</v>
      </c>
      <c r="AN47" t="s">
        <v>50</v>
      </c>
      <c r="AO47" s="5">
        <f t="shared" si="18"/>
        <v>39</v>
      </c>
      <c r="AP47" s="5">
        <f t="shared" si="19"/>
        <v>182.97</v>
      </c>
      <c r="AQ47" s="5">
        <v>-767.79999999999973</v>
      </c>
      <c r="AR47" s="8" t="s">
        <v>361</v>
      </c>
      <c r="AS47" t="s">
        <v>362</v>
      </c>
    </row>
    <row r="48" spans="1:45" x14ac:dyDescent="0.35">
      <c r="A48" t="s">
        <v>363</v>
      </c>
      <c r="B48">
        <v>2</v>
      </c>
      <c r="C48">
        <v>17</v>
      </c>
      <c r="D48" t="s">
        <v>344</v>
      </c>
      <c r="E48">
        <v>4</v>
      </c>
      <c r="F48" t="s">
        <v>79</v>
      </c>
      <c r="G48" s="6">
        <v>503</v>
      </c>
      <c r="H48" t="s">
        <v>364</v>
      </c>
      <c r="I48" t="s">
        <v>365</v>
      </c>
      <c r="J48" s="5">
        <f t="shared" si="10"/>
        <v>1.4</v>
      </c>
      <c r="K48" s="5">
        <f t="shared" si="11"/>
        <v>7.2</v>
      </c>
      <c r="L48" s="5">
        <f t="shared" si="12"/>
        <v>7</v>
      </c>
      <c r="M48" s="5">
        <v>0.02</v>
      </c>
      <c r="N48" s="5">
        <f t="shared" si="13"/>
        <v>15.6</v>
      </c>
      <c r="P48"/>
      <c r="Q48" s="7">
        <v>14</v>
      </c>
      <c r="R48" s="7">
        <v>72</v>
      </c>
      <c r="S48" s="7">
        <v>70</v>
      </c>
      <c r="T48" s="7">
        <v>14</v>
      </c>
      <c r="U48" s="7">
        <v>72</v>
      </c>
      <c r="V48" s="7">
        <v>70</v>
      </c>
      <c r="W48" t="s">
        <v>50</v>
      </c>
      <c r="X48" t="s">
        <v>61</v>
      </c>
      <c r="Y48" t="s">
        <v>61</v>
      </c>
      <c r="Z48" t="s">
        <v>52</v>
      </c>
      <c r="AA48" s="5">
        <f t="shared" si="14"/>
        <v>1.4</v>
      </c>
      <c r="AB48" s="5">
        <f t="shared" si="15"/>
        <v>156</v>
      </c>
      <c r="AC48" t="s">
        <v>53</v>
      </c>
      <c r="AD48" t="s">
        <v>347</v>
      </c>
      <c r="AE48" s="8">
        <v>0.36274040914192429</v>
      </c>
      <c r="AF48" t="s">
        <v>366</v>
      </c>
      <c r="AG48" s="5">
        <f t="shared" si="16"/>
        <v>7.6</v>
      </c>
      <c r="AH48" s="5">
        <f t="shared" si="17"/>
        <v>0.8</v>
      </c>
      <c r="AI48" s="7">
        <v>76</v>
      </c>
      <c r="AJ48" s="7">
        <v>8</v>
      </c>
      <c r="AK48" s="7">
        <v>76</v>
      </c>
      <c r="AL48" s="7">
        <v>8</v>
      </c>
      <c r="AM48" t="s">
        <v>61</v>
      </c>
      <c r="AN48" t="s">
        <v>50</v>
      </c>
      <c r="AO48" s="5">
        <f t="shared" si="18"/>
        <v>59</v>
      </c>
      <c r="AP48" s="5">
        <f t="shared" si="19"/>
        <v>139.96</v>
      </c>
      <c r="AQ48" s="5">
        <v>-766.39999999999975</v>
      </c>
      <c r="AR48" s="8" t="s">
        <v>367</v>
      </c>
      <c r="AS48" t="s">
        <v>368</v>
      </c>
    </row>
    <row r="49" spans="1:45" x14ac:dyDescent="0.35">
      <c r="A49" t="s">
        <v>369</v>
      </c>
      <c r="B49">
        <v>2</v>
      </c>
      <c r="C49">
        <v>18</v>
      </c>
      <c r="D49" t="s">
        <v>370</v>
      </c>
      <c r="E49">
        <v>1</v>
      </c>
      <c r="F49" t="s">
        <v>47</v>
      </c>
      <c r="G49" s="6">
        <v>1898</v>
      </c>
      <c r="H49" t="s">
        <v>371</v>
      </c>
      <c r="I49" t="s">
        <v>372</v>
      </c>
      <c r="J49" s="5">
        <f t="shared" si="10"/>
        <v>7.2</v>
      </c>
      <c r="K49" s="5">
        <f t="shared" si="11"/>
        <v>7.4</v>
      </c>
      <c r="L49" s="5">
        <f t="shared" si="12"/>
        <v>7.7</v>
      </c>
      <c r="M49" s="5">
        <v>-0.05</v>
      </c>
      <c r="N49" s="5">
        <f t="shared" si="13"/>
        <v>22.3</v>
      </c>
      <c r="P49"/>
      <c r="Q49" s="7">
        <v>72</v>
      </c>
      <c r="R49" s="7">
        <v>74</v>
      </c>
      <c r="S49" s="7">
        <v>77</v>
      </c>
      <c r="T49" s="7">
        <v>72</v>
      </c>
      <c r="U49" s="7">
        <v>74</v>
      </c>
      <c r="V49" s="7">
        <v>77</v>
      </c>
      <c r="W49" t="s">
        <v>61</v>
      </c>
      <c r="X49" t="s">
        <v>61</v>
      </c>
      <c r="Y49" t="s">
        <v>61</v>
      </c>
      <c r="Z49" t="s">
        <v>52</v>
      </c>
      <c r="AA49" s="5">
        <f t="shared" si="14"/>
        <v>-3.85</v>
      </c>
      <c r="AB49" s="5">
        <f t="shared" si="15"/>
        <v>223</v>
      </c>
      <c r="AC49" t="s">
        <v>53</v>
      </c>
      <c r="AD49" t="s">
        <v>373</v>
      </c>
      <c r="AE49" s="8">
        <v>0.37039587797163548</v>
      </c>
      <c r="AF49" t="s">
        <v>374</v>
      </c>
      <c r="AG49" s="5">
        <f t="shared" si="16"/>
        <v>5.8</v>
      </c>
      <c r="AH49" s="5">
        <f t="shared" si="17"/>
        <v>1.8</v>
      </c>
      <c r="AI49" s="7">
        <v>58</v>
      </c>
      <c r="AJ49" s="7">
        <v>18</v>
      </c>
      <c r="AK49" s="7">
        <v>58</v>
      </c>
      <c r="AL49" s="7">
        <v>18</v>
      </c>
      <c r="AM49" t="s">
        <v>51</v>
      </c>
      <c r="AN49" t="s">
        <v>50</v>
      </c>
      <c r="AO49" s="5">
        <f t="shared" si="18"/>
        <v>48</v>
      </c>
      <c r="AP49" s="5">
        <f t="shared" si="19"/>
        <v>176.36</v>
      </c>
      <c r="AQ49" s="5">
        <v>-770.24999999999977</v>
      </c>
      <c r="AR49" s="8" t="s">
        <v>375</v>
      </c>
      <c r="AS49" t="s">
        <v>376</v>
      </c>
    </row>
    <row r="50" spans="1:45" x14ac:dyDescent="0.35">
      <c r="A50" t="s">
        <v>377</v>
      </c>
      <c r="B50">
        <v>2</v>
      </c>
      <c r="C50">
        <v>18</v>
      </c>
      <c r="D50" t="s">
        <v>370</v>
      </c>
      <c r="E50">
        <v>2</v>
      </c>
      <c r="F50" t="s">
        <v>47</v>
      </c>
      <c r="G50" s="6">
        <v>2033</v>
      </c>
      <c r="H50" t="s">
        <v>378</v>
      </c>
      <c r="I50" t="s">
        <v>379</v>
      </c>
      <c r="J50" s="5">
        <f t="shared" si="10"/>
        <v>6.8</v>
      </c>
      <c r="K50" s="5">
        <f t="shared" si="11"/>
        <v>7</v>
      </c>
      <c r="L50" s="5">
        <f t="shared" si="12"/>
        <v>7.9</v>
      </c>
      <c r="M50" s="5">
        <v>0.15</v>
      </c>
      <c r="N50" s="5">
        <f t="shared" si="13"/>
        <v>21.7</v>
      </c>
      <c r="P50"/>
      <c r="Q50" s="7">
        <v>68</v>
      </c>
      <c r="R50" s="7">
        <v>70</v>
      </c>
      <c r="S50" s="7">
        <v>79</v>
      </c>
      <c r="T50" s="7">
        <v>68</v>
      </c>
      <c r="U50" s="7">
        <v>70</v>
      </c>
      <c r="V50" s="7">
        <v>79</v>
      </c>
      <c r="W50" t="s">
        <v>61</v>
      </c>
      <c r="X50" t="s">
        <v>61</v>
      </c>
      <c r="Y50" t="s">
        <v>61</v>
      </c>
      <c r="Z50" t="s">
        <v>52</v>
      </c>
      <c r="AA50" s="5">
        <f t="shared" si="14"/>
        <v>11.85</v>
      </c>
      <c r="AB50" s="5">
        <f t="shared" si="15"/>
        <v>217</v>
      </c>
      <c r="AC50" t="s">
        <v>53</v>
      </c>
      <c r="AD50" t="s">
        <v>373</v>
      </c>
      <c r="AE50" s="8">
        <v>0.38292967554331192</v>
      </c>
      <c r="AF50" t="s">
        <v>380</v>
      </c>
      <c r="AG50" s="5">
        <f t="shared" si="16"/>
        <v>8.1999999999999993</v>
      </c>
      <c r="AH50" s="5">
        <f t="shared" si="17"/>
        <v>1.4</v>
      </c>
      <c r="AI50" s="7">
        <v>82</v>
      </c>
      <c r="AJ50" s="7">
        <v>14</v>
      </c>
      <c r="AK50" s="7">
        <v>82</v>
      </c>
      <c r="AL50" s="7">
        <v>14</v>
      </c>
      <c r="AM50" t="s">
        <v>61</v>
      </c>
      <c r="AN50" t="s">
        <v>50</v>
      </c>
      <c r="AO50" s="5">
        <f t="shared" si="18"/>
        <v>65</v>
      </c>
      <c r="AP50" s="5">
        <f t="shared" si="19"/>
        <v>190.92</v>
      </c>
      <c r="AQ50" s="5">
        <v>-758.39999999999975</v>
      </c>
      <c r="AR50" s="8" t="s">
        <v>381</v>
      </c>
      <c r="AS50" t="s">
        <v>382</v>
      </c>
    </row>
    <row r="51" spans="1:45" x14ac:dyDescent="0.35">
      <c r="A51" t="s">
        <v>383</v>
      </c>
      <c r="B51">
        <v>2</v>
      </c>
      <c r="C51">
        <v>19</v>
      </c>
      <c r="D51" t="s">
        <v>384</v>
      </c>
      <c r="E51">
        <v>1</v>
      </c>
      <c r="F51" t="s">
        <v>79</v>
      </c>
      <c r="G51" s="6">
        <v>1201</v>
      </c>
      <c r="H51" t="s">
        <v>385</v>
      </c>
      <c r="I51" t="s">
        <v>386</v>
      </c>
      <c r="J51" s="5">
        <f t="shared" si="10"/>
        <v>2.2000000000000002</v>
      </c>
      <c r="K51" s="5">
        <f t="shared" si="11"/>
        <v>6.8</v>
      </c>
      <c r="L51" s="5">
        <f t="shared" si="12"/>
        <v>7.4</v>
      </c>
      <c r="M51" s="5">
        <v>0.05</v>
      </c>
      <c r="N51" s="5">
        <f t="shared" si="13"/>
        <v>16.399999999999999</v>
      </c>
      <c r="P51"/>
      <c r="Q51" s="7">
        <v>22</v>
      </c>
      <c r="R51" s="7">
        <v>68</v>
      </c>
      <c r="S51" s="7">
        <v>74</v>
      </c>
      <c r="T51" s="7">
        <v>22</v>
      </c>
      <c r="U51" s="7">
        <v>68</v>
      </c>
      <c r="V51" s="7">
        <v>74</v>
      </c>
      <c r="W51" t="s">
        <v>50</v>
      </c>
      <c r="X51" t="s">
        <v>61</v>
      </c>
      <c r="Y51" t="s">
        <v>61</v>
      </c>
      <c r="Z51" t="s">
        <v>52</v>
      </c>
      <c r="AA51" s="5">
        <f t="shared" si="14"/>
        <v>3.7</v>
      </c>
      <c r="AB51" s="5">
        <f t="shared" si="15"/>
        <v>164</v>
      </c>
      <c r="AC51" t="s">
        <v>53</v>
      </c>
      <c r="AD51" t="s">
        <v>387</v>
      </c>
      <c r="AE51" s="8">
        <v>0.39324112335475969</v>
      </c>
      <c r="AF51" t="s">
        <v>388</v>
      </c>
      <c r="AG51" s="5">
        <f t="shared" si="16"/>
        <v>5.2</v>
      </c>
      <c r="AH51" s="5">
        <f t="shared" si="17"/>
        <v>2.2000000000000002</v>
      </c>
      <c r="AI51" s="7">
        <v>52</v>
      </c>
      <c r="AJ51" s="7">
        <v>22</v>
      </c>
      <c r="AK51" s="7">
        <v>52</v>
      </c>
      <c r="AL51" s="7">
        <v>22</v>
      </c>
      <c r="AM51" t="s">
        <v>51</v>
      </c>
      <c r="AN51" t="s">
        <v>50</v>
      </c>
      <c r="AO51" s="5">
        <f t="shared" si="18"/>
        <v>44.5</v>
      </c>
      <c r="AP51" s="5">
        <f t="shared" si="19"/>
        <v>132.12</v>
      </c>
      <c r="AQ51" s="5">
        <v>-754.6999999999997</v>
      </c>
      <c r="AR51" s="8" t="s">
        <v>389</v>
      </c>
      <c r="AS51" t="s">
        <v>390</v>
      </c>
    </row>
    <row r="52" spans="1:45" x14ac:dyDescent="0.35">
      <c r="A52" t="s">
        <v>391</v>
      </c>
      <c r="B52">
        <v>2</v>
      </c>
      <c r="C52">
        <v>19</v>
      </c>
      <c r="D52" t="s">
        <v>384</v>
      </c>
      <c r="E52">
        <v>2</v>
      </c>
      <c r="F52" t="s">
        <v>79</v>
      </c>
      <c r="G52" s="6">
        <v>1254</v>
      </c>
      <c r="H52" t="s">
        <v>392</v>
      </c>
      <c r="I52" t="s">
        <v>393</v>
      </c>
      <c r="J52" s="5">
        <f t="shared" si="10"/>
        <v>1.8</v>
      </c>
      <c r="K52" s="5">
        <f t="shared" si="11"/>
        <v>7.2</v>
      </c>
      <c r="L52" s="5">
        <f t="shared" si="12"/>
        <v>7.6</v>
      </c>
      <c r="M52" s="5">
        <v>0.1</v>
      </c>
      <c r="N52" s="5">
        <f t="shared" si="13"/>
        <v>16.600000000000001</v>
      </c>
      <c r="P52"/>
      <c r="Q52" s="7">
        <v>18</v>
      </c>
      <c r="R52" s="7">
        <v>72</v>
      </c>
      <c r="S52" s="7">
        <v>76</v>
      </c>
      <c r="T52" s="7">
        <v>18</v>
      </c>
      <c r="U52" s="7">
        <v>72</v>
      </c>
      <c r="V52" s="7">
        <v>76</v>
      </c>
      <c r="W52" t="s">
        <v>50</v>
      </c>
      <c r="X52" t="s">
        <v>61</v>
      </c>
      <c r="Y52" t="s">
        <v>61</v>
      </c>
      <c r="Z52" t="s">
        <v>52</v>
      </c>
      <c r="AA52" s="5">
        <f t="shared" si="14"/>
        <v>7.6</v>
      </c>
      <c r="AB52" s="5">
        <f t="shared" si="15"/>
        <v>166</v>
      </c>
      <c r="AC52" t="s">
        <v>53</v>
      </c>
      <c r="AD52" t="s">
        <v>387</v>
      </c>
      <c r="AE52" s="8">
        <v>0.40106876849301087</v>
      </c>
      <c r="AF52" t="s">
        <v>394</v>
      </c>
      <c r="AG52" s="5">
        <f t="shared" si="16"/>
        <v>7.8</v>
      </c>
      <c r="AH52" s="5">
        <f t="shared" si="17"/>
        <v>1.8</v>
      </c>
      <c r="AI52" s="7">
        <v>78</v>
      </c>
      <c r="AJ52" s="7">
        <v>18</v>
      </c>
      <c r="AK52" s="7">
        <v>78</v>
      </c>
      <c r="AL52" s="7">
        <v>18</v>
      </c>
      <c r="AM52" t="s">
        <v>61</v>
      </c>
      <c r="AN52" t="s">
        <v>50</v>
      </c>
      <c r="AO52" s="5">
        <f t="shared" si="18"/>
        <v>63</v>
      </c>
      <c r="AP52" s="5">
        <f t="shared" si="19"/>
        <v>151.02000000000001</v>
      </c>
      <c r="AQ52" s="5">
        <v>-747.09999999999968</v>
      </c>
      <c r="AR52" s="8" t="s">
        <v>395</v>
      </c>
      <c r="AS52" t="s">
        <v>396</v>
      </c>
    </row>
    <row r="53" spans="1:45" x14ac:dyDescent="0.35">
      <c r="A53" t="s">
        <v>397</v>
      </c>
      <c r="B53">
        <v>2</v>
      </c>
      <c r="C53">
        <v>19</v>
      </c>
      <c r="D53" t="s">
        <v>384</v>
      </c>
      <c r="E53">
        <v>3</v>
      </c>
      <c r="F53" t="s">
        <v>79</v>
      </c>
      <c r="G53" s="6">
        <v>2112</v>
      </c>
      <c r="H53" t="s">
        <v>398</v>
      </c>
      <c r="I53" t="s">
        <v>399</v>
      </c>
      <c r="J53" s="5">
        <f t="shared" si="10"/>
        <v>1.4</v>
      </c>
      <c r="K53" s="5">
        <f t="shared" si="11"/>
        <v>8</v>
      </c>
      <c r="L53" s="5">
        <f t="shared" si="12"/>
        <v>8.4</v>
      </c>
      <c r="M53" s="5">
        <v>-0.12</v>
      </c>
      <c r="N53" s="5">
        <f t="shared" si="13"/>
        <v>17.8</v>
      </c>
      <c r="P53"/>
      <c r="Q53" s="7">
        <v>14</v>
      </c>
      <c r="R53" s="7">
        <v>80</v>
      </c>
      <c r="S53" s="7">
        <v>84</v>
      </c>
      <c r="T53" s="7">
        <v>14</v>
      </c>
      <c r="U53" s="7">
        <v>80</v>
      </c>
      <c r="V53" s="7">
        <v>84</v>
      </c>
      <c r="W53" t="s">
        <v>50</v>
      </c>
      <c r="X53" t="s">
        <v>61</v>
      </c>
      <c r="Y53" t="s">
        <v>61</v>
      </c>
      <c r="Z53" t="s">
        <v>52</v>
      </c>
      <c r="AA53" s="5">
        <f t="shared" si="14"/>
        <v>-10.08</v>
      </c>
      <c r="AB53" s="5">
        <f t="shared" si="15"/>
        <v>178</v>
      </c>
      <c r="AC53" t="s">
        <v>53</v>
      </c>
      <c r="AD53" t="s">
        <v>387</v>
      </c>
      <c r="AE53" s="8">
        <v>0.41180109172533408</v>
      </c>
      <c r="AF53" t="s">
        <v>400</v>
      </c>
      <c r="AG53" s="5">
        <f t="shared" si="16"/>
        <v>7</v>
      </c>
      <c r="AH53" s="5">
        <f t="shared" si="17"/>
        <v>2.2000000000000002</v>
      </c>
      <c r="AI53" s="7">
        <v>70</v>
      </c>
      <c r="AJ53" s="7">
        <v>22</v>
      </c>
      <c r="AK53" s="7">
        <v>70</v>
      </c>
      <c r="AL53" s="7">
        <v>22</v>
      </c>
      <c r="AM53" t="s">
        <v>61</v>
      </c>
      <c r="AN53" t="s">
        <v>50</v>
      </c>
      <c r="AO53" s="5">
        <f t="shared" si="18"/>
        <v>58</v>
      </c>
      <c r="AP53" s="5">
        <f t="shared" si="19"/>
        <v>154.97</v>
      </c>
      <c r="AQ53" s="5">
        <v>-757.17999999999972</v>
      </c>
      <c r="AR53" s="8" t="s">
        <v>401</v>
      </c>
      <c r="AS53" t="s">
        <v>402</v>
      </c>
    </row>
    <row r="54" spans="1:45" x14ac:dyDescent="0.35">
      <c r="A54" t="s">
        <v>403</v>
      </c>
      <c r="B54">
        <v>2</v>
      </c>
      <c r="C54">
        <v>20</v>
      </c>
      <c r="D54" t="s">
        <v>404</v>
      </c>
      <c r="E54">
        <v>1</v>
      </c>
      <c r="F54" t="s">
        <v>47</v>
      </c>
      <c r="G54" s="6">
        <v>437</v>
      </c>
      <c r="H54" t="s">
        <v>405</v>
      </c>
      <c r="I54" t="s">
        <v>406</v>
      </c>
      <c r="J54" s="5">
        <f t="shared" si="10"/>
        <v>1.2</v>
      </c>
      <c r="K54" s="5">
        <f t="shared" si="11"/>
        <v>5.8</v>
      </c>
      <c r="L54" s="5">
        <f t="shared" si="12"/>
        <v>6.3</v>
      </c>
      <c r="M54" s="5">
        <v>-0.08</v>
      </c>
      <c r="N54" s="5">
        <f t="shared" si="13"/>
        <v>13.3</v>
      </c>
      <c r="P54"/>
      <c r="Q54" s="7">
        <v>12</v>
      </c>
      <c r="R54" s="7">
        <v>58</v>
      </c>
      <c r="S54" s="7">
        <v>63</v>
      </c>
      <c r="T54" s="7">
        <v>12</v>
      </c>
      <c r="U54" s="7">
        <v>58</v>
      </c>
      <c r="V54" s="7">
        <v>63</v>
      </c>
      <c r="W54" t="s">
        <v>50</v>
      </c>
      <c r="X54" t="s">
        <v>51</v>
      </c>
      <c r="Y54" t="s">
        <v>61</v>
      </c>
      <c r="Z54" t="s">
        <v>52</v>
      </c>
      <c r="AA54" s="5">
        <f t="shared" si="14"/>
        <v>-5.04</v>
      </c>
      <c r="AB54" s="5">
        <f t="shared" si="15"/>
        <v>133</v>
      </c>
      <c r="AC54" t="s">
        <v>53</v>
      </c>
      <c r="AD54" t="s">
        <v>407</v>
      </c>
      <c r="AE54" s="8">
        <v>0.41992845117845118</v>
      </c>
      <c r="AF54" t="s">
        <v>408</v>
      </c>
      <c r="AG54" s="5">
        <f t="shared" si="16"/>
        <v>6</v>
      </c>
      <c r="AH54" s="5">
        <f t="shared" si="17"/>
        <v>1.6</v>
      </c>
      <c r="AI54" s="7">
        <v>60</v>
      </c>
      <c r="AJ54" s="7">
        <v>16</v>
      </c>
      <c r="AK54" s="7">
        <v>60</v>
      </c>
      <c r="AL54" s="7">
        <v>16</v>
      </c>
      <c r="AM54" t="s">
        <v>51</v>
      </c>
      <c r="AN54" t="s">
        <v>50</v>
      </c>
      <c r="AO54" s="5">
        <f t="shared" si="18"/>
        <v>49</v>
      </c>
      <c r="AP54" s="5">
        <f t="shared" si="19"/>
        <v>114.75</v>
      </c>
      <c r="AQ54" s="5">
        <v>-762.21999999999969</v>
      </c>
      <c r="AR54" s="8" t="s">
        <v>409</v>
      </c>
      <c r="AS54" t="s">
        <v>410</v>
      </c>
    </row>
    <row r="55" spans="1:45" x14ac:dyDescent="0.35">
      <c r="A55" t="s">
        <v>411</v>
      </c>
      <c r="B55">
        <v>2</v>
      </c>
      <c r="C55">
        <v>20</v>
      </c>
      <c r="D55" t="s">
        <v>404</v>
      </c>
      <c r="E55">
        <v>2</v>
      </c>
      <c r="F55" t="s">
        <v>47</v>
      </c>
      <c r="G55" s="6">
        <v>1289</v>
      </c>
      <c r="H55" t="s">
        <v>412</v>
      </c>
      <c r="I55" t="s">
        <v>413</v>
      </c>
      <c r="J55" s="5">
        <f t="shared" si="10"/>
        <v>1.6</v>
      </c>
      <c r="K55" s="5">
        <f t="shared" si="11"/>
        <v>7.8</v>
      </c>
      <c r="L55" s="5">
        <f t="shared" si="12"/>
        <v>7.4</v>
      </c>
      <c r="M55" s="5">
        <v>-0.18</v>
      </c>
      <c r="N55" s="5">
        <f t="shared" si="13"/>
        <v>16.8</v>
      </c>
      <c r="P55"/>
      <c r="Q55" s="7">
        <v>16</v>
      </c>
      <c r="R55" s="7">
        <v>78</v>
      </c>
      <c r="S55" s="7">
        <v>74</v>
      </c>
      <c r="T55" s="7">
        <v>16</v>
      </c>
      <c r="U55" s="7">
        <v>78</v>
      </c>
      <c r="V55" s="7">
        <v>74</v>
      </c>
      <c r="W55" t="s">
        <v>50</v>
      </c>
      <c r="X55" t="s">
        <v>61</v>
      </c>
      <c r="Y55" t="s">
        <v>61</v>
      </c>
      <c r="Z55" t="s">
        <v>52</v>
      </c>
      <c r="AA55" s="5">
        <f t="shared" si="14"/>
        <v>-13.32</v>
      </c>
      <c r="AB55" s="5">
        <f t="shared" si="15"/>
        <v>168</v>
      </c>
      <c r="AC55" t="s">
        <v>53</v>
      </c>
      <c r="AD55" t="s">
        <v>407</v>
      </c>
      <c r="AE55" s="8">
        <v>0.42543171615141312</v>
      </c>
      <c r="AF55" t="s">
        <v>414</v>
      </c>
      <c r="AG55" s="5">
        <f t="shared" si="16"/>
        <v>5.4</v>
      </c>
      <c r="AH55" s="5">
        <f t="shared" si="17"/>
        <v>4</v>
      </c>
      <c r="AI55" s="7">
        <v>54</v>
      </c>
      <c r="AJ55" s="7">
        <v>40</v>
      </c>
      <c r="AK55" s="7">
        <v>54</v>
      </c>
      <c r="AL55" s="7">
        <v>40</v>
      </c>
      <c r="AM55" t="s">
        <v>51</v>
      </c>
      <c r="AN55" t="s">
        <v>51</v>
      </c>
      <c r="AO55" s="5">
        <f t="shared" si="18"/>
        <v>50.5</v>
      </c>
      <c r="AP55" s="5">
        <f t="shared" si="19"/>
        <v>140.58000000000001</v>
      </c>
      <c r="AQ55" s="5">
        <v>-775.53999999999974</v>
      </c>
      <c r="AR55" s="8" t="s">
        <v>415</v>
      </c>
      <c r="AS55" t="s">
        <v>416</v>
      </c>
    </row>
    <row r="56" spans="1:45" x14ac:dyDescent="0.35">
      <c r="A56" t="s">
        <v>417</v>
      </c>
      <c r="B56">
        <v>2</v>
      </c>
      <c r="C56">
        <v>20</v>
      </c>
      <c r="D56" t="s">
        <v>404</v>
      </c>
      <c r="E56">
        <v>3</v>
      </c>
      <c r="F56" t="s">
        <v>79</v>
      </c>
      <c r="G56" s="6">
        <v>766</v>
      </c>
      <c r="H56" t="s">
        <v>418</v>
      </c>
      <c r="I56" t="s">
        <v>419</v>
      </c>
      <c r="J56" s="5">
        <f t="shared" si="10"/>
        <v>1.4</v>
      </c>
      <c r="K56" s="5">
        <f t="shared" si="11"/>
        <v>7.6</v>
      </c>
      <c r="L56" s="5">
        <f t="shared" si="12"/>
        <v>7.5</v>
      </c>
      <c r="M56" s="5">
        <v>-0.22</v>
      </c>
      <c r="N56" s="5">
        <f t="shared" si="13"/>
        <v>16.5</v>
      </c>
      <c r="P56"/>
      <c r="Q56" s="7">
        <v>14</v>
      </c>
      <c r="R56" s="7">
        <v>76</v>
      </c>
      <c r="S56" s="7">
        <v>75</v>
      </c>
      <c r="T56" s="7">
        <v>14</v>
      </c>
      <c r="U56" s="7">
        <v>76</v>
      </c>
      <c r="V56" s="7">
        <v>75</v>
      </c>
      <c r="W56" t="s">
        <v>50</v>
      </c>
      <c r="X56" t="s">
        <v>61</v>
      </c>
      <c r="Y56" t="s">
        <v>61</v>
      </c>
      <c r="Z56" t="s">
        <v>52</v>
      </c>
      <c r="AA56" s="5">
        <f t="shared" si="14"/>
        <v>-16.5</v>
      </c>
      <c r="AB56" s="5">
        <f t="shared" si="15"/>
        <v>165</v>
      </c>
      <c r="AC56" t="s">
        <v>53</v>
      </c>
      <c r="AD56" t="s">
        <v>407</v>
      </c>
      <c r="AE56" s="8">
        <v>0.43198398122640552</v>
      </c>
      <c r="AF56" t="s">
        <v>420</v>
      </c>
      <c r="AG56" s="5">
        <f t="shared" si="16"/>
        <v>5.2</v>
      </c>
      <c r="AH56" s="5">
        <f t="shared" si="17"/>
        <v>5.2</v>
      </c>
      <c r="AI56" s="7">
        <v>52</v>
      </c>
      <c r="AJ56" s="7">
        <v>52</v>
      </c>
      <c r="AK56" s="7">
        <v>52</v>
      </c>
      <c r="AL56" s="7">
        <v>52</v>
      </c>
      <c r="AM56" t="s">
        <v>51</v>
      </c>
      <c r="AN56" t="s">
        <v>51</v>
      </c>
      <c r="AO56" s="5">
        <f t="shared" si="18"/>
        <v>52</v>
      </c>
      <c r="AP56" s="5">
        <f t="shared" si="19"/>
        <v>139.88999999999999</v>
      </c>
      <c r="AQ56" s="5">
        <v>-792.03999999999974</v>
      </c>
      <c r="AR56" s="8" t="s">
        <v>421</v>
      </c>
      <c r="AS56" t="s">
        <v>422</v>
      </c>
    </row>
    <row r="57" spans="1:45" x14ac:dyDescent="0.35">
      <c r="A57" t="s">
        <v>423</v>
      </c>
      <c r="B57">
        <v>2</v>
      </c>
      <c r="C57">
        <v>20</v>
      </c>
      <c r="D57" t="s">
        <v>404</v>
      </c>
      <c r="E57">
        <v>4</v>
      </c>
      <c r="F57" t="s">
        <v>47</v>
      </c>
      <c r="G57" s="6">
        <v>999</v>
      </c>
      <c r="H57" t="s">
        <v>424</v>
      </c>
      <c r="I57" t="s">
        <v>425</v>
      </c>
      <c r="J57" s="5">
        <f t="shared" si="10"/>
        <v>0.8</v>
      </c>
      <c r="K57" s="5">
        <f t="shared" si="11"/>
        <v>8.1999999999999993</v>
      </c>
      <c r="L57" s="5">
        <f t="shared" si="12"/>
        <v>7.9</v>
      </c>
      <c r="M57" s="5">
        <v>-0.3</v>
      </c>
      <c r="N57" s="5">
        <f t="shared" si="13"/>
        <v>16.899999999999999</v>
      </c>
      <c r="P57"/>
      <c r="Q57" s="7">
        <v>8</v>
      </c>
      <c r="R57" s="7">
        <v>82</v>
      </c>
      <c r="S57" s="7">
        <v>79</v>
      </c>
      <c r="T57" s="7">
        <v>8</v>
      </c>
      <c r="U57" s="7">
        <v>82</v>
      </c>
      <c r="V57" s="7">
        <v>79</v>
      </c>
      <c r="W57" t="s">
        <v>50</v>
      </c>
      <c r="X57" t="s">
        <v>61</v>
      </c>
      <c r="Y57" t="s">
        <v>61</v>
      </c>
      <c r="Z57" t="s">
        <v>52</v>
      </c>
      <c r="AA57" s="5">
        <f t="shared" si="14"/>
        <v>-23.7</v>
      </c>
      <c r="AB57" s="5">
        <f t="shared" si="15"/>
        <v>169</v>
      </c>
      <c r="AC57" t="s">
        <v>53</v>
      </c>
      <c r="AD57" t="s">
        <v>407</v>
      </c>
      <c r="AE57" s="8">
        <v>0.43761159575553521</v>
      </c>
      <c r="AF57" t="s">
        <v>426</v>
      </c>
      <c r="AG57" s="5">
        <f t="shared" si="16"/>
        <v>4.5999999999999996</v>
      </c>
      <c r="AH57" s="5">
        <f t="shared" si="17"/>
        <v>2</v>
      </c>
      <c r="AI57" s="7">
        <v>46</v>
      </c>
      <c r="AJ57" s="7">
        <v>20</v>
      </c>
      <c r="AK57" s="7">
        <v>46</v>
      </c>
      <c r="AL57" s="7">
        <v>20</v>
      </c>
      <c r="AM57" t="s">
        <v>51</v>
      </c>
      <c r="AN57" t="s">
        <v>50</v>
      </c>
      <c r="AO57" s="5">
        <f t="shared" si="18"/>
        <v>39.5</v>
      </c>
      <c r="AP57" s="5">
        <f t="shared" si="19"/>
        <v>130.75</v>
      </c>
      <c r="AQ57" s="5">
        <v>-815.73999999999978</v>
      </c>
      <c r="AR57" s="8" t="s">
        <v>427</v>
      </c>
      <c r="AS57" t="s">
        <v>428</v>
      </c>
    </row>
    <row r="58" spans="1:45" x14ac:dyDescent="0.35">
      <c r="A58" t="s">
        <v>429</v>
      </c>
      <c r="B58">
        <v>2</v>
      </c>
      <c r="C58">
        <v>21</v>
      </c>
      <c r="D58" t="s">
        <v>430</v>
      </c>
      <c r="E58">
        <v>1</v>
      </c>
      <c r="F58" t="s">
        <v>79</v>
      </c>
      <c r="G58" s="6">
        <v>1465</v>
      </c>
      <c r="H58" t="s">
        <v>431</v>
      </c>
      <c r="I58" t="s">
        <v>432</v>
      </c>
      <c r="J58" s="5">
        <f t="shared" si="10"/>
        <v>1.2</v>
      </c>
      <c r="K58" s="5">
        <f t="shared" si="11"/>
        <v>8.1999999999999993</v>
      </c>
      <c r="L58" s="5">
        <f t="shared" si="12"/>
        <v>8</v>
      </c>
      <c r="M58" s="5">
        <v>-0.34</v>
      </c>
      <c r="N58" s="5">
        <f t="shared" si="13"/>
        <v>17.399999999999999</v>
      </c>
      <c r="P58"/>
      <c r="Q58" s="7">
        <v>12</v>
      </c>
      <c r="R58" s="7">
        <v>82</v>
      </c>
      <c r="S58" s="7">
        <v>80</v>
      </c>
      <c r="T58" s="7">
        <v>12</v>
      </c>
      <c r="U58" s="7">
        <v>82</v>
      </c>
      <c r="V58" s="7">
        <v>80</v>
      </c>
      <c r="W58" t="s">
        <v>50</v>
      </c>
      <c r="X58" t="s">
        <v>61</v>
      </c>
      <c r="Y58" t="s">
        <v>61</v>
      </c>
      <c r="Z58" t="s">
        <v>102</v>
      </c>
      <c r="AA58" s="5">
        <f t="shared" si="14"/>
        <v>-27.2</v>
      </c>
      <c r="AB58" s="5">
        <f t="shared" si="15"/>
        <v>174</v>
      </c>
      <c r="AC58" t="s">
        <v>53</v>
      </c>
      <c r="AD58" t="s">
        <v>433</v>
      </c>
      <c r="AE58" s="8">
        <v>0.4454679369452097</v>
      </c>
      <c r="AF58" t="s">
        <v>434</v>
      </c>
      <c r="AG58" s="5">
        <f t="shared" si="16"/>
        <v>4</v>
      </c>
      <c r="AH58" s="5">
        <f t="shared" si="17"/>
        <v>4.5999999999999996</v>
      </c>
      <c r="AI58" s="7">
        <v>40</v>
      </c>
      <c r="AJ58" s="7">
        <v>46</v>
      </c>
      <c r="AK58" s="7">
        <v>40</v>
      </c>
      <c r="AL58" s="7">
        <v>46</v>
      </c>
      <c r="AM58" t="s">
        <v>51</v>
      </c>
      <c r="AN58" t="s">
        <v>51</v>
      </c>
      <c r="AO58" s="5">
        <f t="shared" si="18"/>
        <v>41.5</v>
      </c>
      <c r="AP58" s="5">
        <f t="shared" si="19"/>
        <v>136.04</v>
      </c>
      <c r="AQ58" s="5">
        <v>-842.93999999999983</v>
      </c>
      <c r="AR58" s="8" t="s">
        <v>435</v>
      </c>
      <c r="AS58" t="s">
        <v>436</v>
      </c>
    </row>
    <row r="59" spans="1:45" x14ac:dyDescent="0.35">
      <c r="A59" t="s">
        <v>437</v>
      </c>
      <c r="B59">
        <v>2</v>
      </c>
      <c r="C59">
        <v>21</v>
      </c>
      <c r="D59" t="s">
        <v>430</v>
      </c>
      <c r="E59">
        <v>2</v>
      </c>
      <c r="F59" t="s">
        <v>47</v>
      </c>
      <c r="G59" s="6">
        <v>139</v>
      </c>
      <c r="H59" t="s">
        <v>438</v>
      </c>
      <c r="I59" t="s">
        <v>439</v>
      </c>
      <c r="J59" s="5">
        <f t="shared" si="10"/>
        <v>1</v>
      </c>
      <c r="K59" s="5">
        <f t="shared" si="11"/>
        <v>7</v>
      </c>
      <c r="L59" s="5">
        <f t="shared" si="12"/>
        <v>7.2</v>
      </c>
      <c r="M59" s="5">
        <v>-0.26</v>
      </c>
      <c r="N59" s="5">
        <f t="shared" si="13"/>
        <v>15.2</v>
      </c>
      <c r="P59"/>
      <c r="Q59" s="7">
        <v>10</v>
      </c>
      <c r="R59" s="7">
        <v>70</v>
      </c>
      <c r="S59" s="7">
        <v>72</v>
      </c>
      <c r="T59" s="7">
        <v>10</v>
      </c>
      <c r="U59" s="7">
        <v>70</v>
      </c>
      <c r="V59" s="7">
        <v>72</v>
      </c>
      <c r="W59" t="s">
        <v>50</v>
      </c>
      <c r="X59" t="s">
        <v>61</v>
      </c>
      <c r="Y59" t="s">
        <v>61</v>
      </c>
      <c r="Z59" t="s">
        <v>52</v>
      </c>
      <c r="AA59" s="5">
        <f t="shared" si="14"/>
        <v>-18.72</v>
      </c>
      <c r="AB59" s="5">
        <f t="shared" si="15"/>
        <v>152</v>
      </c>
      <c r="AC59" t="s">
        <v>53</v>
      </c>
      <c r="AD59" t="s">
        <v>433</v>
      </c>
      <c r="AE59" s="8">
        <v>0.45058221099887769</v>
      </c>
      <c r="AF59" t="s">
        <v>440</v>
      </c>
      <c r="AG59" s="5">
        <f t="shared" si="16"/>
        <v>2.6</v>
      </c>
      <c r="AH59" s="5">
        <f t="shared" si="17"/>
        <v>1.8</v>
      </c>
      <c r="AI59" s="7">
        <v>26</v>
      </c>
      <c r="AJ59" s="7">
        <v>18</v>
      </c>
      <c r="AK59" s="7">
        <v>26</v>
      </c>
      <c r="AL59" s="7">
        <v>18</v>
      </c>
      <c r="AM59" t="s">
        <v>50</v>
      </c>
      <c r="AN59" t="s">
        <v>50</v>
      </c>
      <c r="AO59" s="5">
        <f t="shared" si="18"/>
        <v>24</v>
      </c>
      <c r="AP59" s="5">
        <f t="shared" si="19"/>
        <v>105.34</v>
      </c>
      <c r="AQ59" s="5">
        <v>-861.65999999999985</v>
      </c>
      <c r="AR59" s="8" t="s">
        <v>441</v>
      </c>
      <c r="AS59" t="s">
        <v>442</v>
      </c>
    </row>
    <row r="60" spans="1:45" x14ac:dyDescent="0.35">
      <c r="A60" t="s">
        <v>443</v>
      </c>
      <c r="B60">
        <v>2</v>
      </c>
      <c r="C60">
        <v>21</v>
      </c>
      <c r="D60" t="s">
        <v>430</v>
      </c>
      <c r="E60">
        <v>3</v>
      </c>
      <c r="F60" t="s">
        <v>79</v>
      </c>
      <c r="G60" s="6">
        <v>371</v>
      </c>
      <c r="H60" t="s">
        <v>438</v>
      </c>
      <c r="I60" t="s">
        <v>444</v>
      </c>
      <c r="J60" s="5">
        <f t="shared" si="10"/>
        <v>0.8</v>
      </c>
      <c r="K60" s="5">
        <f t="shared" si="11"/>
        <v>7.6</v>
      </c>
      <c r="L60" s="5">
        <f t="shared" si="12"/>
        <v>7.4</v>
      </c>
      <c r="M60" s="5">
        <v>-0.32</v>
      </c>
      <c r="N60" s="5">
        <f t="shared" si="13"/>
        <v>15.8</v>
      </c>
      <c r="P60"/>
      <c r="Q60" s="7">
        <v>8</v>
      </c>
      <c r="R60" s="7">
        <v>76</v>
      </c>
      <c r="S60" s="7">
        <v>74</v>
      </c>
      <c r="T60" s="7">
        <v>8</v>
      </c>
      <c r="U60" s="7">
        <v>76</v>
      </c>
      <c r="V60" s="7">
        <v>74</v>
      </c>
      <c r="W60" t="s">
        <v>50</v>
      </c>
      <c r="X60" t="s">
        <v>61</v>
      </c>
      <c r="Y60" t="s">
        <v>61</v>
      </c>
      <c r="Z60" t="s">
        <v>52</v>
      </c>
      <c r="AA60" s="5">
        <f t="shared" si="14"/>
        <v>-23.68</v>
      </c>
      <c r="AB60" s="5">
        <f t="shared" si="15"/>
        <v>158</v>
      </c>
      <c r="AC60" t="s">
        <v>53</v>
      </c>
      <c r="AD60" t="s">
        <v>433</v>
      </c>
      <c r="AE60" s="8">
        <v>0.4522083205795327</v>
      </c>
      <c r="AF60" t="s">
        <v>445</v>
      </c>
      <c r="AG60" s="5">
        <f t="shared" si="16"/>
        <v>2.2000000000000002</v>
      </c>
      <c r="AH60" s="5">
        <f t="shared" si="17"/>
        <v>1</v>
      </c>
      <c r="AI60" s="7">
        <v>22</v>
      </c>
      <c r="AJ60" s="7">
        <v>10</v>
      </c>
      <c r="AK60" s="7">
        <v>22</v>
      </c>
      <c r="AL60" s="7">
        <v>10</v>
      </c>
      <c r="AM60" t="s">
        <v>50</v>
      </c>
      <c r="AN60" t="s">
        <v>50</v>
      </c>
      <c r="AO60" s="5">
        <f t="shared" si="18"/>
        <v>19</v>
      </c>
      <c r="AP60" s="5">
        <f t="shared" si="19"/>
        <v>104.46</v>
      </c>
      <c r="AQ60" s="5">
        <v>-885.3399999999998</v>
      </c>
      <c r="AR60" s="8" t="s">
        <v>446</v>
      </c>
      <c r="AS60" t="s">
        <v>447</v>
      </c>
    </row>
    <row r="61" spans="1:45" x14ac:dyDescent="0.35">
      <c r="A61" t="s">
        <v>448</v>
      </c>
      <c r="B61">
        <v>2</v>
      </c>
      <c r="C61">
        <v>21</v>
      </c>
      <c r="D61" t="s">
        <v>430</v>
      </c>
      <c r="E61">
        <v>4</v>
      </c>
      <c r="F61" t="s">
        <v>47</v>
      </c>
      <c r="G61" s="6">
        <v>481</v>
      </c>
      <c r="H61" t="s">
        <v>438</v>
      </c>
      <c r="I61" t="s">
        <v>449</v>
      </c>
      <c r="J61" s="5">
        <f t="shared" si="10"/>
        <v>1</v>
      </c>
      <c r="K61" s="5">
        <f t="shared" si="11"/>
        <v>7.4</v>
      </c>
      <c r="L61" s="5">
        <f t="shared" si="12"/>
        <v>7.3</v>
      </c>
      <c r="M61" s="5">
        <v>-0.28000000000000003</v>
      </c>
      <c r="N61" s="5">
        <f t="shared" si="13"/>
        <v>15.7</v>
      </c>
      <c r="P61"/>
      <c r="Q61" s="7">
        <v>10</v>
      </c>
      <c r="R61" s="7">
        <v>74</v>
      </c>
      <c r="S61" s="7">
        <v>73</v>
      </c>
      <c r="T61" s="7">
        <v>10</v>
      </c>
      <c r="U61" s="7">
        <v>74</v>
      </c>
      <c r="V61" s="7">
        <v>73</v>
      </c>
      <c r="W61" t="s">
        <v>50</v>
      </c>
      <c r="X61" t="s">
        <v>61</v>
      </c>
      <c r="Y61" t="s">
        <v>61</v>
      </c>
      <c r="Z61" t="s">
        <v>52</v>
      </c>
      <c r="AA61" s="5">
        <f t="shared" si="14"/>
        <v>-20.440000000000001</v>
      </c>
      <c r="AB61" s="5">
        <f t="shared" si="15"/>
        <v>157</v>
      </c>
      <c r="AC61" t="s">
        <v>53</v>
      </c>
      <c r="AD61" t="s">
        <v>433</v>
      </c>
      <c r="AE61" s="8">
        <v>0.45492488011427412</v>
      </c>
      <c r="AF61" t="s">
        <v>450</v>
      </c>
      <c r="AG61" s="5">
        <f t="shared" si="16"/>
        <v>2.4</v>
      </c>
      <c r="AH61" s="5">
        <f t="shared" si="17"/>
        <v>3.4</v>
      </c>
      <c r="AI61" s="7">
        <v>24</v>
      </c>
      <c r="AJ61" s="7">
        <v>34</v>
      </c>
      <c r="AK61" s="7">
        <v>24</v>
      </c>
      <c r="AL61" s="7">
        <v>34</v>
      </c>
      <c r="AM61" t="s">
        <v>50</v>
      </c>
      <c r="AN61" t="s">
        <v>51</v>
      </c>
      <c r="AO61" s="5">
        <f t="shared" si="18"/>
        <v>26.5</v>
      </c>
      <c r="AP61" s="5">
        <f t="shared" si="19"/>
        <v>110.76</v>
      </c>
      <c r="AQ61" s="5">
        <v>-905.77999999999986</v>
      </c>
      <c r="AR61" s="8" t="s">
        <v>451</v>
      </c>
      <c r="AS61" t="s">
        <v>452</v>
      </c>
    </row>
    <row r="62" spans="1:45" x14ac:dyDescent="0.35">
      <c r="A62" t="s">
        <v>453</v>
      </c>
      <c r="B62">
        <v>2</v>
      </c>
      <c r="C62">
        <v>21</v>
      </c>
      <c r="D62" t="s">
        <v>430</v>
      </c>
      <c r="E62">
        <v>5</v>
      </c>
      <c r="F62" t="s">
        <v>79</v>
      </c>
      <c r="G62" s="6">
        <v>582</v>
      </c>
      <c r="H62" t="s">
        <v>438</v>
      </c>
      <c r="I62" t="s">
        <v>454</v>
      </c>
      <c r="J62" s="5">
        <f t="shared" si="10"/>
        <v>0.8</v>
      </c>
      <c r="K62" s="5">
        <f t="shared" si="11"/>
        <v>7.8</v>
      </c>
      <c r="L62" s="5">
        <f t="shared" si="12"/>
        <v>7.7</v>
      </c>
      <c r="M62" s="5">
        <v>-0.36</v>
      </c>
      <c r="N62" s="5">
        <f t="shared" si="13"/>
        <v>16.3</v>
      </c>
      <c r="P62"/>
      <c r="Q62" s="7">
        <v>8</v>
      </c>
      <c r="R62" s="7">
        <v>78</v>
      </c>
      <c r="S62" s="7">
        <v>77</v>
      </c>
      <c r="T62" s="7">
        <v>8</v>
      </c>
      <c r="U62" s="7">
        <v>78</v>
      </c>
      <c r="V62" s="7">
        <v>77</v>
      </c>
      <c r="W62" t="s">
        <v>50</v>
      </c>
      <c r="X62" t="s">
        <v>61</v>
      </c>
      <c r="Y62" t="s">
        <v>61</v>
      </c>
      <c r="Z62" t="s">
        <v>102</v>
      </c>
      <c r="AA62" s="5">
        <f t="shared" si="14"/>
        <v>-27.72</v>
      </c>
      <c r="AB62" s="5">
        <f t="shared" si="15"/>
        <v>163</v>
      </c>
      <c r="AC62" t="s">
        <v>53</v>
      </c>
      <c r="AD62" t="s">
        <v>433</v>
      </c>
      <c r="AE62" s="8">
        <v>0.45831420263238443</v>
      </c>
      <c r="AF62" t="s">
        <v>455</v>
      </c>
      <c r="AG62" s="5">
        <f t="shared" si="16"/>
        <v>2</v>
      </c>
      <c r="AH62" s="5">
        <f t="shared" si="17"/>
        <v>1.2</v>
      </c>
      <c r="AI62" s="7">
        <v>20</v>
      </c>
      <c r="AJ62" s="7">
        <v>12</v>
      </c>
      <c r="AK62" s="7">
        <v>20</v>
      </c>
      <c r="AL62" s="7">
        <v>12</v>
      </c>
      <c r="AM62" t="s">
        <v>50</v>
      </c>
      <c r="AN62" t="s">
        <v>50</v>
      </c>
      <c r="AO62" s="5">
        <f t="shared" si="18"/>
        <v>18</v>
      </c>
      <c r="AP62" s="5">
        <f t="shared" si="19"/>
        <v>106.55</v>
      </c>
      <c r="AQ62" s="5">
        <v>-933.49999999999989</v>
      </c>
      <c r="AR62" s="8" t="s">
        <v>456</v>
      </c>
      <c r="AS62" t="s">
        <v>457</v>
      </c>
    </row>
    <row r="63" spans="1:45" x14ac:dyDescent="0.35">
      <c r="A63" t="s">
        <v>458</v>
      </c>
      <c r="B63">
        <v>2</v>
      </c>
      <c r="C63">
        <v>21</v>
      </c>
      <c r="D63" t="s">
        <v>430</v>
      </c>
      <c r="E63">
        <v>6</v>
      </c>
      <c r="F63" t="s">
        <v>47</v>
      </c>
      <c r="G63" s="6">
        <v>1137</v>
      </c>
      <c r="H63" t="s">
        <v>459</v>
      </c>
      <c r="I63" t="s">
        <v>460</v>
      </c>
      <c r="J63" s="5">
        <f t="shared" si="10"/>
        <v>1.4</v>
      </c>
      <c r="K63" s="5">
        <f t="shared" si="11"/>
        <v>7.2</v>
      </c>
      <c r="L63" s="5">
        <f t="shared" si="12"/>
        <v>7.6</v>
      </c>
      <c r="M63" s="5">
        <v>-0.3</v>
      </c>
      <c r="N63" s="5">
        <f t="shared" si="13"/>
        <v>16.2</v>
      </c>
      <c r="P63"/>
      <c r="Q63" s="7">
        <v>14</v>
      </c>
      <c r="R63" s="7">
        <v>72</v>
      </c>
      <c r="S63" s="7">
        <v>76</v>
      </c>
      <c r="T63" s="7">
        <v>14</v>
      </c>
      <c r="U63" s="7">
        <v>72</v>
      </c>
      <c r="V63" s="7">
        <v>76</v>
      </c>
      <c r="W63" t="s">
        <v>50</v>
      </c>
      <c r="X63" t="s">
        <v>61</v>
      </c>
      <c r="Y63" t="s">
        <v>61</v>
      </c>
      <c r="Z63" t="s">
        <v>52</v>
      </c>
      <c r="AA63" s="5">
        <f t="shared" si="14"/>
        <v>-22.8</v>
      </c>
      <c r="AB63" s="5">
        <f t="shared" si="15"/>
        <v>162</v>
      </c>
      <c r="AC63" t="s">
        <v>53</v>
      </c>
      <c r="AD63" t="s">
        <v>433</v>
      </c>
      <c r="AE63" s="8">
        <v>0.46379514845423941</v>
      </c>
      <c r="AF63" t="s">
        <v>461</v>
      </c>
      <c r="AG63" s="5">
        <f t="shared" si="16"/>
        <v>2.8</v>
      </c>
      <c r="AH63" s="5">
        <f t="shared" si="17"/>
        <v>2.6</v>
      </c>
      <c r="AI63" s="7">
        <v>28</v>
      </c>
      <c r="AJ63" s="7">
        <v>26</v>
      </c>
      <c r="AK63" s="7">
        <v>28</v>
      </c>
      <c r="AL63" s="7">
        <v>26</v>
      </c>
      <c r="AM63" t="s">
        <v>50</v>
      </c>
      <c r="AN63" t="s">
        <v>50</v>
      </c>
      <c r="AO63" s="5">
        <f t="shared" si="18"/>
        <v>27.5</v>
      </c>
      <c r="AP63" s="5">
        <f t="shared" si="19"/>
        <v>114.84</v>
      </c>
      <c r="AQ63" s="5">
        <v>-956.29999999999984</v>
      </c>
      <c r="AR63" s="8" t="s">
        <v>462</v>
      </c>
      <c r="AS63" t="s">
        <v>463</v>
      </c>
    </row>
    <row r="64" spans="1:45" x14ac:dyDescent="0.35">
      <c r="A64" t="s">
        <v>464</v>
      </c>
      <c r="B64">
        <v>2</v>
      </c>
      <c r="C64">
        <v>22</v>
      </c>
      <c r="D64" t="s">
        <v>465</v>
      </c>
      <c r="E64">
        <v>1</v>
      </c>
      <c r="F64" t="s">
        <v>79</v>
      </c>
      <c r="G64" s="6">
        <v>1761</v>
      </c>
      <c r="H64" t="s">
        <v>466</v>
      </c>
      <c r="I64" t="s">
        <v>467</v>
      </c>
      <c r="J64" s="5">
        <f t="shared" si="10"/>
        <v>1.6</v>
      </c>
      <c r="K64" s="5">
        <f t="shared" si="11"/>
        <v>7.8</v>
      </c>
      <c r="L64" s="5">
        <f t="shared" si="12"/>
        <v>8.1999999999999993</v>
      </c>
      <c r="M64" s="5">
        <v>-0.42</v>
      </c>
      <c r="N64" s="5">
        <f t="shared" si="13"/>
        <v>17.600000000000001</v>
      </c>
      <c r="P64"/>
      <c r="Q64" s="7">
        <v>16</v>
      </c>
      <c r="R64" s="7">
        <v>78</v>
      </c>
      <c r="S64" s="7">
        <v>82</v>
      </c>
      <c r="T64" s="7">
        <v>16</v>
      </c>
      <c r="U64" s="7">
        <v>78</v>
      </c>
      <c r="V64" s="7">
        <v>82</v>
      </c>
      <c r="W64" t="s">
        <v>50</v>
      </c>
      <c r="X64" t="s">
        <v>61</v>
      </c>
      <c r="Y64" t="s">
        <v>61</v>
      </c>
      <c r="Z64" t="s">
        <v>102</v>
      </c>
      <c r="AA64" s="5">
        <f t="shared" si="14"/>
        <v>-34.44</v>
      </c>
      <c r="AB64" s="5">
        <f t="shared" si="15"/>
        <v>176</v>
      </c>
      <c r="AC64" t="s">
        <v>53</v>
      </c>
      <c r="AD64" t="s">
        <v>468</v>
      </c>
      <c r="AE64" s="8">
        <v>0.47303527701254972</v>
      </c>
      <c r="AF64" t="s">
        <v>469</v>
      </c>
      <c r="AG64" s="5">
        <f t="shared" si="16"/>
        <v>4.2</v>
      </c>
      <c r="AH64" s="5">
        <f t="shared" si="17"/>
        <v>0.8</v>
      </c>
      <c r="AI64" s="7">
        <v>42</v>
      </c>
      <c r="AJ64" s="7">
        <v>8</v>
      </c>
      <c r="AK64" s="7">
        <v>42</v>
      </c>
      <c r="AL64" s="7">
        <v>8</v>
      </c>
      <c r="AM64" t="s">
        <v>51</v>
      </c>
      <c r="AN64" t="s">
        <v>50</v>
      </c>
      <c r="AO64" s="5">
        <f t="shared" si="18"/>
        <v>33.5</v>
      </c>
      <c r="AP64" s="5">
        <f t="shared" si="19"/>
        <v>129.56</v>
      </c>
      <c r="AQ64" s="5">
        <v>-990.73999999999978</v>
      </c>
      <c r="AR64" s="8" t="s">
        <v>470</v>
      </c>
      <c r="AS64" t="s">
        <v>471</v>
      </c>
    </row>
    <row r="65" spans="1:45" x14ac:dyDescent="0.35">
      <c r="A65" t="s">
        <v>472</v>
      </c>
      <c r="B65">
        <v>2</v>
      </c>
      <c r="C65">
        <v>22</v>
      </c>
      <c r="D65" t="s">
        <v>465</v>
      </c>
      <c r="E65">
        <v>2</v>
      </c>
      <c r="F65" t="s">
        <v>47</v>
      </c>
      <c r="G65" s="6">
        <v>1756</v>
      </c>
      <c r="H65" t="s">
        <v>473</v>
      </c>
      <c r="I65" t="s">
        <v>474</v>
      </c>
      <c r="J65" s="5">
        <f t="shared" si="10"/>
        <v>1.2</v>
      </c>
      <c r="K65" s="5">
        <f t="shared" si="11"/>
        <v>7</v>
      </c>
      <c r="L65" s="5">
        <f t="shared" si="12"/>
        <v>7.9</v>
      </c>
      <c r="M65" s="5">
        <v>-0.46</v>
      </c>
      <c r="N65" s="5">
        <f t="shared" si="13"/>
        <v>16.100000000000001</v>
      </c>
      <c r="P65"/>
      <c r="Q65" s="7">
        <v>12</v>
      </c>
      <c r="R65" s="7">
        <v>70</v>
      </c>
      <c r="S65" s="7">
        <v>79</v>
      </c>
      <c r="T65" s="7">
        <v>12</v>
      </c>
      <c r="U65" s="7">
        <v>70</v>
      </c>
      <c r="V65" s="7">
        <v>79</v>
      </c>
      <c r="W65" t="s">
        <v>50</v>
      </c>
      <c r="X65" t="s">
        <v>61</v>
      </c>
      <c r="Y65" t="s">
        <v>61</v>
      </c>
      <c r="Z65" t="s">
        <v>102</v>
      </c>
      <c r="AA65" s="5">
        <f t="shared" si="14"/>
        <v>-36.340000000000003</v>
      </c>
      <c r="AB65" s="5">
        <f t="shared" si="15"/>
        <v>161</v>
      </c>
      <c r="AC65" t="s">
        <v>53</v>
      </c>
      <c r="AD65" t="s">
        <v>468</v>
      </c>
      <c r="AE65" s="8">
        <v>0.48424905621875319</v>
      </c>
      <c r="AF65" t="s">
        <v>475</v>
      </c>
      <c r="AG65" s="5">
        <f t="shared" si="16"/>
        <v>3</v>
      </c>
      <c r="AH65" s="5">
        <f t="shared" si="17"/>
        <v>0.8</v>
      </c>
      <c r="AI65" s="7">
        <v>30</v>
      </c>
      <c r="AJ65" s="7">
        <v>8</v>
      </c>
      <c r="AK65" s="7">
        <v>30</v>
      </c>
      <c r="AL65" s="7">
        <v>8</v>
      </c>
      <c r="AM65" t="s">
        <v>50</v>
      </c>
      <c r="AN65" t="s">
        <v>50</v>
      </c>
      <c r="AO65" s="5">
        <f t="shared" si="18"/>
        <v>24.5</v>
      </c>
      <c r="AP65" s="5">
        <f t="shared" si="19"/>
        <v>111.41</v>
      </c>
      <c r="AQ65" s="5">
        <v>-1027.08</v>
      </c>
      <c r="AR65" s="8" t="s">
        <v>476</v>
      </c>
      <c r="AS65" t="s">
        <v>477</v>
      </c>
    </row>
    <row r="66" spans="1:45" x14ac:dyDescent="0.35">
      <c r="A66" t="s">
        <v>478</v>
      </c>
      <c r="B66">
        <v>2</v>
      </c>
      <c r="C66">
        <v>22</v>
      </c>
      <c r="D66" t="s">
        <v>465</v>
      </c>
      <c r="E66">
        <v>3</v>
      </c>
      <c r="F66" t="s">
        <v>79</v>
      </c>
      <c r="G66" s="6">
        <v>1133</v>
      </c>
      <c r="H66" t="s">
        <v>479</v>
      </c>
      <c r="I66" t="s">
        <v>480</v>
      </c>
      <c r="J66" s="5">
        <f t="shared" ref="J66:J97" si="20">ROUND(T66/10,2)</f>
        <v>1.8</v>
      </c>
      <c r="K66" s="5">
        <f t="shared" ref="K66:K97" si="21">ROUND(U66/10,2)</f>
        <v>8</v>
      </c>
      <c r="L66" s="5">
        <f t="shared" ref="L66:L97" si="22">ROUND(V66/10,2)</f>
        <v>8.4</v>
      </c>
      <c r="M66" s="5">
        <v>-0.54</v>
      </c>
      <c r="N66" s="5">
        <f t="shared" ref="N66:N97" si="23">ROUND(J66+K66+L66,2)</f>
        <v>18.2</v>
      </c>
      <c r="P66"/>
      <c r="Q66" s="7">
        <v>18</v>
      </c>
      <c r="R66" s="7">
        <v>80</v>
      </c>
      <c r="S66" s="7">
        <v>84</v>
      </c>
      <c r="T66" s="7">
        <v>18</v>
      </c>
      <c r="U66" s="7">
        <v>80</v>
      </c>
      <c r="V66" s="7">
        <v>84</v>
      </c>
      <c r="W66" t="s">
        <v>50</v>
      </c>
      <c r="X66" t="s">
        <v>61</v>
      </c>
      <c r="Y66" t="s">
        <v>61</v>
      </c>
      <c r="Z66" t="s">
        <v>102</v>
      </c>
      <c r="AA66" s="5">
        <f t="shared" ref="AA66:AA97" si="24">ROUND(V66*M66,2)</f>
        <v>-45.36</v>
      </c>
      <c r="AB66" s="5">
        <f t="shared" ref="AB66:AB97" si="25">T66+U66+V66</f>
        <v>182</v>
      </c>
      <c r="AC66" t="s">
        <v>53</v>
      </c>
      <c r="AD66" t="s">
        <v>468</v>
      </c>
      <c r="AE66" s="8">
        <v>0.49346048872564019</v>
      </c>
      <c r="AF66" t="s">
        <v>481</v>
      </c>
      <c r="AG66" s="5">
        <f t="shared" ref="AG66:AG97" si="26">ROUND(AK66/10,2)</f>
        <v>4.4000000000000004</v>
      </c>
      <c r="AH66" s="5">
        <f t="shared" ref="AH66:AH97" si="27">ROUND(AL66/10,2)</f>
        <v>0.6</v>
      </c>
      <c r="AI66" s="7">
        <v>44</v>
      </c>
      <c r="AJ66" s="7">
        <v>6</v>
      </c>
      <c r="AK66" s="7">
        <v>44</v>
      </c>
      <c r="AL66" s="7">
        <v>6</v>
      </c>
      <c r="AM66" t="s">
        <v>51</v>
      </c>
      <c r="AN66" t="s">
        <v>50</v>
      </c>
      <c r="AO66" s="5">
        <f t="shared" ref="AO66:AO97" si="28">ROUND(0.75*AK66+0.25*AL66,2)</f>
        <v>34.5</v>
      </c>
      <c r="AP66" s="5">
        <f t="shared" ref="AP66:AP97" si="29">ROUND(0.55*AB66+0.45*AO66+0.3*(AB66*AO66/100),2)</f>
        <v>134.46</v>
      </c>
      <c r="AQ66" s="5">
        <v>-1072.44</v>
      </c>
      <c r="AR66" s="8" t="s">
        <v>482</v>
      </c>
      <c r="AS66" t="s">
        <v>483</v>
      </c>
    </row>
    <row r="67" spans="1:45" x14ac:dyDescent="0.35">
      <c r="A67" t="s">
        <v>484</v>
      </c>
      <c r="B67">
        <v>2</v>
      </c>
      <c r="C67">
        <v>23</v>
      </c>
      <c r="D67" t="s">
        <v>485</v>
      </c>
      <c r="E67">
        <v>1</v>
      </c>
      <c r="F67" t="s">
        <v>47</v>
      </c>
      <c r="G67" s="6">
        <v>2367</v>
      </c>
      <c r="H67" t="s">
        <v>486</v>
      </c>
      <c r="I67" t="s">
        <v>487</v>
      </c>
      <c r="J67" s="5">
        <f t="shared" si="20"/>
        <v>2</v>
      </c>
      <c r="K67" s="5">
        <f t="shared" si="21"/>
        <v>7.4</v>
      </c>
      <c r="L67" s="5">
        <f t="shared" si="22"/>
        <v>8.1999999999999993</v>
      </c>
      <c r="M67" s="5">
        <v>-0.48</v>
      </c>
      <c r="N67" s="5">
        <f t="shared" si="23"/>
        <v>17.600000000000001</v>
      </c>
      <c r="P67"/>
      <c r="Q67" s="7">
        <v>20</v>
      </c>
      <c r="R67" s="7">
        <v>74</v>
      </c>
      <c r="S67" s="7">
        <v>82</v>
      </c>
      <c r="T67" s="7">
        <v>20</v>
      </c>
      <c r="U67" s="7">
        <v>74</v>
      </c>
      <c r="V67" s="7">
        <v>82</v>
      </c>
      <c r="W67" t="s">
        <v>50</v>
      </c>
      <c r="X67" t="s">
        <v>61</v>
      </c>
      <c r="Y67" t="s">
        <v>61</v>
      </c>
      <c r="Z67" t="s">
        <v>102</v>
      </c>
      <c r="AA67" s="5">
        <f t="shared" si="24"/>
        <v>-39.36</v>
      </c>
      <c r="AB67" s="5">
        <f t="shared" si="25"/>
        <v>176</v>
      </c>
      <c r="AC67" t="s">
        <v>53</v>
      </c>
      <c r="AD67" t="s">
        <v>488</v>
      </c>
      <c r="AE67" s="8">
        <v>0.50462006427915518</v>
      </c>
      <c r="AF67" t="s">
        <v>489</v>
      </c>
      <c r="AG67" s="5">
        <f t="shared" si="26"/>
        <v>3.8</v>
      </c>
      <c r="AH67" s="5">
        <f t="shared" si="27"/>
        <v>1</v>
      </c>
      <c r="AI67" s="7">
        <v>38</v>
      </c>
      <c r="AJ67" s="7">
        <v>10</v>
      </c>
      <c r="AK67" s="7">
        <v>38</v>
      </c>
      <c r="AL67" s="7">
        <v>10</v>
      </c>
      <c r="AM67" t="s">
        <v>51</v>
      </c>
      <c r="AN67" t="s">
        <v>50</v>
      </c>
      <c r="AO67" s="5">
        <f t="shared" si="28"/>
        <v>31</v>
      </c>
      <c r="AP67" s="5">
        <f t="shared" si="29"/>
        <v>127.12</v>
      </c>
      <c r="AQ67" s="5">
        <v>-1111.799999999999</v>
      </c>
      <c r="AR67" s="8" t="s">
        <v>490</v>
      </c>
      <c r="AS67" t="s">
        <v>491</v>
      </c>
    </row>
    <row r="68" spans="1:45" x14ac:dyDescent="0.35">
      <c r="A68" t="s">
        <v>492</v>
      </c>
      <c r="B68">
        <v>2</v>
      </c>
      <c r="C68">
        <v>23</v>
      </c>
      <c r="D68" t="s">
        <v>485</v>
      </c>
      <c r="E68">
        <v>2</v>
      </c>
      <c r="F68" t="s">
        <v>79</v>
      </c>
      <c r="G68" s="6">
        <v>1454</v>
      </c>
      <c r="H68" t="s">
        <v>493</v>
      </c>
      <c r="I68" t="s">
        <v>494</v>
      </c>
      <c r="J68" s="5">
        <f t="shared" si="20"/>
        <v>1.6</v>
      </c>
      <c r="K68" s="5">
        <f t="shared" si="21"/>
        <v>7.8</v>
      </c>
      <c r="L68" s="5">
        <f t="shared" si="22"/>
        <v>8.4</v>
      </c>
      <c r="M68" s="5">
        <v>-0.5</v>
      </c>
      <c r="N68" s="5">
        <f t="shared" si="23"/>
        <v>17.8</v>
      </c>
      <c r="P68"/>
      <c r="Q68" s="7">
        <v>16</v>
      </c>
      <c r="R68" s="7">
        <v>78</v>
      </c>
      <c r="S68" s="7">
        <v>84</v>
      </c>
      <c r="T68" s="7">
        <v>16</v>
      </c>
      <c r="U68" s="7">
        <v>78</v>
      </c>
      <c r="V68" s="7">
        <v>84</v>
      </c>
      <c r="W68" t="s">
        <v>50</v>
      </c>
      <c r="X68" t="s">
        <v>61</v>
      </c>
      <c r="Y68" t="s">
        <v>61</v>
      </c>
      <c r="Z68" t="s">
        <v>102</v>
      </c>
      <c r="AA68" s="5">
        <f t="shared" si="24"/>
        <v>-42</v>
      </c>
      <c r="AB68" s="5">
        <f t="shared" si="25"/>
        <v>178</v>
      </c>
      <c r="AC68" t="s">
        <v>53</v>
      </c>
      <c r="AD68" t="s">
        <v>488</v>
      </c>
      <c r="AE68" s="8">
        <v>0.51680313233343533</v>
      </c>
      <c r="AF68" t="s">
        <v>495</v>
      </c>
      <c r="AG68" s="5">
        <f t="shared" si="26"/>
        <v>4.5999999999999996</v>
      </c>
      <c r="AH68" s="5">
        <f t="shared" si="27"/>
        <v>0.8</v>
      </c>
      <c r="AI68" s="7">
        <v>46</v>
      </c>
      <c r="AJ68" s="7">
        <v>8</v>
      </c>
      <c r="AK68" s="7">
        <v>46</v>
      </c>
      <c r="AL68" s="7">
        <v>8</v>
      </c>
      <c r="AM68" t="s">
        <v>51</v>
      </c>
      <c r="AN68" t="s">
        <v>50</v>
      </c>
      <c r="AO68" s="5">
        <f t="shared" si="28"/>
        <v>36.5</v>
      </c>
      <c r="AP68" s="5">
        <f t="shared" si="29"/>
        <v>133.82</v>
      </c>
      <c r="AQ68" s="5">
        <v>-1153.799999999999</v>
      </c>
      <c r="AR68" s="8" t="s">
        <v>496</v>
      </c>
      <c r="AS68" t="s">
        <v>497</v>
      </c>
    </row>
    <row r="69" spans="1:45" x14ac:dyDescent="0.35">
      <c r="A69" t="s">
        <v>498</v>
      </c>
      <c r="B69">
        <v>2</v>
      </c>
      <c r="C69">
        <v>24</v>
      </c>
      <c r="D69" t="s">
        <v>499</v>
      </c>
      <c r="E69">
        <v>1</v>
      </c>
      <c r="F69" t="s">
        <v>47</v>
      </c>
      <c r="G69" s="6">
        <v>1495</v>
      </c>
      <c r="H69" t="s">
        <v>500</v>
      </c>
      <c r="I69" t="s">
        <v>501</v>
      </c>
      <c r="J69" s="5">
        <f t="shared" si="20"/>
        <v>2.6</v>
      </c>
      <c r="K69" s="5">
        <f t="shared" si="21"/>
        <v>8.1999999999999993</v>
      </c>
      <c r="L69" s="5">
        <f t="shared" si="22"/>
        <v>8.5</v>
      </c>
      <c r="M69" s="5">
        <v>-0.57999999999999996</v>
      </c>
      <c r="N69" s="5">
        <f t="shared" si="23"/>
        <v>19.3</v>
      </c>
      <c r="P69"/>
      <c r="Q69" s="7">
        <v>26</v>
      </c>
      <c r="R69" s="7">
        <v>82</v>
      </c>
      <c r="S69" s="7">
        <v>85</v>
      </c>
      <c r="T69" s="7">
        <v>26</v>
      </c>
      <c r="U69" s="7">
        <v>82</v>
      </c>
      <c r="V69" s="7">
        <v>85</v>
      </c>
      <c r="W69" t="s">
        <v>50</v>
      </c>
      <c r="X69" t="s">
        <v>61</v>
      </c>
      <c r="Y69" t="s">
        <v>61</v>
      </c>
      <c r="Z69" t="s">
        <v>102</v>
      </c>
      <c r="AA69" s="5">
        <f t="shared" si="24"/>
        <v>-49.3</v>
      </c>
      <c r="AB69" s="5">
        <f t="shared" si="25"/>
        <v>193</v>
      </c>
      <c r="AC69" t="s">
        <v>53</v>
      </c>
      <c r="AD69" t="s">
        <v>502</v>
      </c>
      <c r="AE69" s="8">
        <v>0.52620587184981127</v>
      </c>
      <c r="AF69" t="s">
        <v>503</v>
      </c>
      <c r="AG69" s="5">
        <f t="shared" si="26"/>
        <v>3.6</v>
      </c>
      <c r="AH69" s="5">
        <f t="shared" si="27"/>
        <v>1</v>
      </c>
      <c r="AI69" s="7">
        <v>36</v>
      </c>
      <c r="AJ69" s="7">
        <v>10</v>
      </c>
      <c r="AK69" s="7">
        <v>36</v>
      </c>
      <c r="AL69" s="7">
        <v>10</v>
      </c>
      <c r="AM69" t="s">
        <v>51</v>
      </c>
      <c r="AN69" t="s">
        <v>50</v>
      </c>
      <c r="AO69" s="5">
        <f t="shared" si="28"/>
        <v>29.5</v>
      </c>
      <c r="AP69" s="5">
        <f t="shared" si="29"/>
        <v>136.51</v>
      </c>
      <c r="AQ69" s="5">
        <v>-1203.099999999999</v>
      </c>
      <c r="AR69" s="8" t="s">
        <v>504</v>
      </c>
      <c r="AS69" t="s">
        <v>505</v>
      </c>
    </row>
    <row r="70" spans="1:45" x14ac:dyDescent="0.35">
      <c r="A70" t="s">
        <v>506</v>
      </c>
      <c r="B70">
        <v>2</v>
      </c>
      <c r="C70">
        <v>24</v>
      </c>
      <c r="D70" t="s">
        <v>499</v>
      </c>
      <c r="E70">
        <v>2</v>
      </c>
      <c r="F70" t="s">
        <v>79</v>
      </c>
      <c r="G70" s="6">
        <v>2134</v>
      </c>
      <c r="H70" t="s">
        <v>507</v>
      </c>
      <c r="I70" t="s">
        <v>508</v>
      </c>
      <c r="J70" s="5">
        <f t="shared" si="20"/>
        <v>2.2000000000000002</v>
      </c>
      <c r="K70" s="5">
        <f t="shared" si="21"/>
        <v>8.4</v>
      </c>
      <c r="L70" s="5">
        <f t="shared" si="22"/>
        <v>8.6</v>
      </c>
      <c r="M70" s="5">
        <v>-0.62</v>
      </c>
      <c r="N70" s="5">
        <f t="shared" si="23"/>
        <v>19.2</v>
      </c>
      <c r="P70"/>
      <c r="Q70" s="7">
        <v>22</v>
      </c>
      <c r="R70" s="7">
        <v>84</v>
      </c>
      <c r="S70" s="7">
        <v>86</v>
      </c>
      <c r="T70" s="7">
        <v>22</v>
      </c>
      <c r="U70" s="7">
        <v>84</v>
      </c>
      <c r="V70" s="7">
        <v>86</v>
      </c>
      <c r="W70" t="s">
        <v>50</v>
      </c>
      <c r="X70" t="s">
        <v>61</v>
      </c>
      <c r="Y70" t="s">
        <v>61</v>
      </c>
      <c r="Z70" t="s">
        <v>102</v>
      </c>
      <c r="AA70" s="5">
        <f t="shared" si="24"/>
        <v>-53.32</v>
      </c>
      <c r="AB70" s="5">
        <f t="shared" si="25"/>
        <v>192</v>
      </c>
      <c r="AC70" t="s">
        <v>53</v>
      </c>
      <c r="AD70" t="s">
        <v>502</v>
      </c>
      <c r="AE70" s="8">
        <v>0.53777675747372722</v>
      </c>
      <c r="AF70" t="s">
        <v>509</v>
      </c>
      <c r="AG70" s="5">
        <f t="shared" si="26"/>
        <v>3.4</v>
      </c>
      <c r="AH70" s="5">
        <f t="shared" si="27"/>
        <v>0.8</v>
      </c>
      <c r="AI70" s="7">
        <v>34</v>
      </c>
      <c r="AJ70" s="7">
        <v>8</v>
      </c>
      <c r="AK70" s="7">
        <v>34</v>
      </c>
      <c r="AL70" s="7">
        <v>8</v>
      </c>
      <c r="AM70" t="s">
        <v>51</v>
      </c>
      <c r="AN70" t="s">
        <v>50</v>
      </c>
      <c r="AO70" s="5">
        <f t="shared" si="28"/>
        <v>27.5</v>
      </c>
      <c r="AP70" s="5">
        <f t="shared" si="29"/>
        <v>133.82</v>
      </c>
      <c r="AQ70" s="5">
        <v>-1256.4199999999989</v>
      </c>
      <c r="AR70" s="8" t="s">
        <v>510</v>
      </c>
      <c r="AS70" t="s">
        <v>511</v>
      </c>
    </row>
    <row r="71" spans="1:45" x14ac:dyDescent="0.35">
      <c r="A71" t="s">
        <v>512</v>
      </c>
      <c r="B71">
        <v>2</v>
      </c>
      <c r="C71">
        <v>25</v>
      </c>
      <c r="D71" t="s">
        <v>513</v>
      </c>
      <c r="E71">
        <v>1</v>
      </c>
      <c r="F71" t="s">
        <v>47</v>
      </c>
      <c r="G71" s="6">
        <v>700</v>
      </c>
      <c r="H71" t="s">
        <v>514</v>
      </c>
      <c r="I71" t="s">
        <v>515</v>
      </c>
      <c r="J71" s="5">
        <f t="shared" si="20"/>
        <v>1.8</v>
      </c>
      <c r="K71" s="5">
        <f t="shared" si="21"/>
        <v>8.6</v>
      </c>
      <c r="L71" s="5">
        <f t="shared" si="22"/>
        <v>8.8000000000000007</v>
      </c>
      <c r="M71" s="5">
        <v>-0.72</v>
      </c>
      <c r="N71" s="5">
        <f t="shared" si="23"/>
        <v>19.2</v>
      </c>
      <c r="P71"/>
      <c r="Q71" s="7">
        <v>18</v>
      </c>
      <c r="R71" s="7">
        <v>86</v>
      </c>
      <c r="S71" s="7">
        <v>88</v>
      </c>
      <c r="T71" s="7">
        <v>18</v>
      </c>
      <c r="U71" s="7">
        <v>86</v>
      </c>
      <c r="V71" s="7">
        <v>88</v>
      </c>
      <c r="W71" t="s">
        <v>50</v>
      </c>
      <c r="X71" t="s">
        <v>61</v>
      </c>
      <c r="Y71" t="s">
        <v>61</v>
      </c>
      <c r="Z71" t="s">
        <v>102</v>
      </c>
      <c r="AA71" s="5">
        <f t="shared" si="24"/>
        <v>-63.36</v>
      </c>
      <c r="AB71" s="5">
        <f t="shared" si="25"/>
        <v>192</v>
      </c>
      <c r="AC71" t="s">
        <v>53</v>
      </c>
      <c r="AD71" t="s">
        <v>516</v>
      </c>
      <c r="AE71" s="8">
        <v>0.5468128252219161</v>
      </c>
      <c r="AF71" t="s">
        <v>517</v>
      </c>
      <c r="AG71" s="5">
        <f t="shared" si="26"/>
        <v>4</v>
      </c>
      <c r="AH71" s="5">
        <f t="shared" si="27"/>
        <v>0.8</v>
      </c>
      <c r="AI71" s="7">
        <v>40</v>
      </c>
      <c r="AJ71" s="7">
        <v>8</v>
      </c>
      <c r="AK71" s="7">
        <v>40</v>
      </c>
      <c r="AL71" s="7">
        <v>8</v>
      </c>
      <c r="AM71" t="s">
        <v>51</v>
      </c>
      <c r="AN71" t="s">
        <v>50</v>
      </c>
      <c r="AO71" s="5">
        <f t="shared" si="28"/>
        <v>32</v>
      </c>
      <c r="AP71" s="5">
        <f t="shared" si="29"/>
        <v>138.43</v>
      </c>
      <c r="AQ71" s="5">
        <v>-1319.7799999999991</v>
      </c>
      <c r="AR71" s="8" t="s">
        <v>518</v>
      </c>
      <c r="AS71" t="s">
        <v>519</v>
      </c>
    </row>
    <row r="72" spans="1:45" x14ac:dyDescent="0.35">
      <c r="A72" t="s">
        <v>520</v>
      </c>
      <c r="B72">
        <v>2</v>
      </c>
      <c r="C72">
        <v>25</v>
      </c>
      <c r="D72" t="s">
        <v>513</v>
      </c>
      <c r="E72">
        <v>2</v>
      </c>
      <c r="F72" t="s">
        <v>79</v>
      </c>
      <c r="G72" s="6">
        <v>1718</v>
      </c>
      <c r="H72" t="s">
        <v>521</v>
      </c>
      <c r="I72" t="s">
        <v>522</v>
      </c>
      <c r="J72" s="5">
        <f t="shared" si="20"/>
        <v>1.4</v>
      </c>
      <c r="K72" s="5">
        <f t="shared" si="21"/>
        <v>8.8000000000000007</v>
      </c>
      <c r="L72" s="5">
        <f t="shared" si="22"/>
        <v>9</v>
      </c>
      <c r="M72" s="5">
        <v>-0.78</v>
      </c>
      <c r="N72" s="5">
        <f t="shared" si="23"/>
        <v>19.2</v>
      </c>
      <c r="P72"/>
      <c r="Q72" s="7">
        <v>14</v>
      </c>
      <c r="R72" s="7">
        <v>88</v>
      </c>
      <c r="S72" s="7">
        <v>90</v>
      </c>
      <c r="T72" s="7">
        <v>14</v>
      </c>
      <c r="U72" s="7">
        <v>88</v>
      </c>
      <c r="V72" s="7">
        <v>90</v>
      </c>
      <c r="W72" t="s">
        <v>50</v>
      </c>
      <c r="X72" t="s">
        <v>61</v>
      </c>
      <c r="Y72" t="s">
        <v>523</v>
      </c>
      <c r="Z72" t="s">
        <v>102</v>
      </c>
      <c r="AA72" s="5">
        <f t="shared" si="24"/>
        <v>-70.2</v>
      </c>
      <c r="AB72" s="5">
        <f t="shared" si="25"/>
        <v>192</v>
      </c>
      <c r="AC72" t="s">
        <v>53</v>
      </c>
      <c r="AD72" t="s">
        <v>516</v>
      </c>
      <c r="AE72" s="8">
        <v>0.55452249770431583</v>
      </c>
      <c r="AF72" t="s">
        <v>524</v>
      </c>
      <c r="AG72" s="5">
        <f t="shared" si="26"/>
        <v>3.8</v>
      </c>
      <c r="AH72" s="5">
        <f t="shared" si="27"/>
        <v>0.6</v>
      </c>
      <c r="AI72" s="7">
        <v>38</v>
      </c>
      <c r="AJ72" s="7">
        <v>6</v>
      </c>
      <c r="AK72" s="7">
        <v>38</v>
      </c>
      <c r="AL72" s="7">
        <v>6</v>
      </c>
      <c r="AM72" t="s">
        <v>51</v>
      </c>
      <c r="AN72" t="s">
        <v>50</v>
      </c>
      <c r="AO72" s="5">
        <f t="shared" si="28"/>
        <v>30</v>
      </c>
      <c r="AP72" s="5">
        <f t="shared" si="29"/>
        <v>136.38</v>
      </c>
      <c r="AQ72" s="5">
        <v>-1389.9799999999991</v>
      </c>
      <c r="AR72" s="8" t="s">
        <v>525</v>
      </c>
      <c r="AS72" t="s">
        <v>526</v>
      </c>
    </row>
    <row r="73" spans="1:45" x14ac:dyDescent="0.35">
      <c r="A73" t="s">
        <v>527</v>
      </c>
      <c r="B73">
        <v>3</v>
      </c>
      <c r="C73">
        <v>26</v>
      </c>
      <c r="D73" t="s">
        <v>528</v>
      </c>
      <c r="E73">
        <v>1</v>
      </c>
      <c r="F73" t="s">
        <v>47</v>
      </c>
      <c r="G73" s="6">
        <v>1003</v>
      </c>
      <c r="H73" t="s">
        <v>529</v>
      </c>
      <c r="I73" t="s">
        <v>530</v>
      </c>
      <c r="J73" s="5">
        <f t="shared" si="20"/>
        <v>1</v>
      </c>
      <c r="K73" s="5">
        <f t="shared" si="21"/>
        <v>7.2</v>
      </c>
      <c r="L73" s="5">
        <f t="shared" si="22"/>
        <v>8.1999999999999993</v>
      </c>
      <c r="M73" s="5">
        <v>-0.64</v>
      </c>
      <c r="N73" s="5">
        <f t="shared" si="23"/>
        <v>16.399999999999999</v>
      </c>
      <c r="P73"/>
      <c r="Q73" s="7">
        <v>10</v>
      </c>
      <c r="R73" s="7">
        <v>72</v>
      </c>
      <c r="S73" s="7">
        <v>82</v>
      </c>
      <c r="T73" s="7">
        <v>10</v>
      </c>
      <c r="U73" s="7">
        <v>72</v>
      </c>
      <c r="V73" s="7">
        <v>82</v>
      </c>
      <c r="W73" t="s">
        <v>50</v>
      </c>
      <c r="X73" t="s">
        <v>61</v>
      </c>
      <c r="Y73" t="s">
        <v>61</v>
      </c>
      <c r="Z73" t="s">
        <v>102</v>
      </c>
      <c r="AA73" s="5">
        <f t="shared" si="24"/>
        <v>-52.48</v>
      </c>
      <c r="AB73" s="5">
        <f t="shared" si="25"/>
        <v>164</v>
      </c>
      <c r="AC73" t="s">
        <v>53</v>
      </c>
      <c r="AD73" t="s">
        <v>531</v>
      </c>
      <c r="AE73" s="8">
        <v>0.56319827058463423</v>
      </c>
      <c r="AF73" t="s">
        <v>532</v>
      </c>
      <c r="AG73" s="5">
        <f t="shared" si="26"/>
        <v>2.2000000000000002</v>
      </c>
      <c r="AH73" s="5">
        <f t="shared" si="27"/>
        <v>0.4</v>
      </c>
      <c r="AI73" s="7">
        <v>22</v>
      </c>
      <c r="AJ73" s="7">
        <v>4</v>
      </c>
      <c r="AK73" s="7">
        <v>22</v>
      </c>
      <c r="AL73" s="7">
        <v>4</v>
      </c>
      <c r="AM73" t="s">
        <v>50</v>
      </c>
      <c r="AN73" t="s">
        <v>50</v>
      </c>
      <c r="AO73" s="5">
        <f t="shared" si="28"/>
        <v>17.5</v>
      </c>
      <c r="AP73" s="5">
        <f t="shared" si="29"/>
        <v>106.69</v>
      </c>
      <c r="AQ73" s="5">
        <v>-1442.4599999999989</v>
      </c>
      <c r="AR73" s="8" t="s">
        <v>533</v>
      </c>
      <c r="AS73" t="s">
        <v>534</v>
      </c>
    </row>
    <row r="74" spans="1:45" x14ac:dyDescent="0.35">
      <c r="A74" t="s">
        <v>535</v>
      </c>
      <c r="B74">
        <v>3</v>
      </c>
      <c r="C74">
        <v>26</v>
      </c>
      <c r="D74" t="s">
        <v>528</v>
      </c>
      <c r="E74">
        <v>2</v>
      </c>
      <c r="F74" t="s">
        <v>47</v>
      </c>
      <c r="G74" s="6">
        <v>1084</v>
      </c>
      <c r="H74" t="s">
        <v>536</v>
      </c>
      <c r="I74" t="s">
        <v>537</v>
      </c>
      <c r="J74" s="5">
        <f t="shared" si="20"/>
        <v>1.2</v>
      </c>
      <c r="K74" s="5">
        <f t="shared" si="21"/>
        <v>7.6</v>
      </c>
      <c r="L74" s="5">
        <f t="shared" si="22"/>
        <v>8.4</v>
      </c>
      <c r="M74" s="5">
        <v>-0.66</v>
      </c>
      <c r="N74" s="5">
        <f t="shared" si="23"/>
        <v>17.2</v>
      </c>
      <c r="P74"/>
      <c r="Q74" s="7">
        <v>12</v>
      </c>
      <c r="R74" s="7">
        <v>76</v>
      </c>
      <c r="S74" s="7">
        <v>84</v>
      </c>
      <c r="T74" s="7">
        <v>12</v>
      </c>
      <c r="U74" s="7">
        <v>76</v>
      </c>
      <c r="V74" s="7">
        <v>84</v>
      </c>
      <c r="W74" t="s">
        <v>50</v>
      </c>
      <c r="X74" t="s">
        <v>61</v>
      </c>
      <c r="Y74" t="s">
        <v>61</v>
      </c>
      <c r="Z74" t="s">
        <v>102</v>
      </c>
      <c r="AA74" s="5">
        <f t="shared" si="24"/>
        <v>-55.44</v>
      </c>
      <c r="AB74" s="5">
        <f t="shared" si="25"/>
        <v>172</v>
      </c>
      <c r="AC74" t="s">
        <v>53</v>
      </c>
      <c r="AD74" t="s">
        <v>531</v>
      </c>
      <c r="AE74" s="8">
        <v>0.56985256606468726</v>
      </c>
      <c r="AF74" t="s">
        <v>538</v>
      </c>
      <c r="AG74" s="5">
        <f t="shared" si="26"/>
        <v>2.4</v>
      </c>
      <c r="AH74" s="5">
        <f t="shared" si="27"/>
        <v>0.4</v>
      </c>
      <c r="AI74" s="7">
        <v>24</v>
      </c>
      <c r="AJ74" s="7">
        <v>4</v>
      </c>
      <c r="AK74" s="7">
        <v>24</v>
      </c>
      <c r="AL74" s="7">
        <v>4</v>
      </c>
      <c r="AM74" t="s">
        <v>50</v>
      </c>
      <c r="AN74" t="s">
        <v>50</v>
      </c>
      <c r="AO74" s="5">
        <f t="shared" si="28"/>
        <v>19</v>
      </c>
      <c r="AP74" s="5">
        <f t="shared" si="29"/>
        <v>112.95</v>
      </c>
      <c r="AQ74" s="5">
        <v>-1497.899999999999</v>
      </c>
      <c r="AR74" s="8" t="s">
        <v>539</v>
      </c>
      <c r="AS74" t="s">
        <v>540</v>
      </c>
    </row>
    <row r="75" spans="1:45" x14ac:dyDescent="0.35">
      <c r="A75" t="s">
        <v>541</v>
      </c>
      <c r="B75">
        <v>3</v>
      </c>
      <c r="C75">
        <v>26</v>
      </c>
      <c r="D75" t="s">
        <v>528</v>
      </c>
      <c r="E75">
        <v>3</v>
      </c>
      <c r="F75" t="s">
        <v>47</v>
      </c>
      <c r="G75" s="6">
        <v>1529</v>
      </c>
      <c r="H75" t="s">
        <v>542</v>
      </c>
      <c r="I75" t="s">
        <v>543</v>
      </c>
      <c r="J75" s="5">
        <f t="shared" si="20"/>
        <v>1.6</v>
      </c>
      <c r="K75" s="5">
        <f t="shared" si="21"/>
        <v>7.4</v>
      </c>
      <c r="L75" s="5">
        <f t="shared" si="22"/>
        <v>8.5</v>
      </c>
      <c r="M75" s="5">
        <v>-0.7</v>
      </c>
      <c r="N75" s="5">
        <f t="shared" si="23"/>
        <v>17.5</v>
      </c>
      <c r="P75"/>
      <c r="Q75" s="7">
        <v>16</v>
      </c>
      <c r="R75" s="7">
        <v>74</v>
      </c>
      <c r="S75" s="7">
        <v>85</v>
      </c>
      <c r="T75" s="7">
        <v>16</v>
      </c>
      <c r="U75" s="7">
        <v>74</v>
      </c>
      <c r="V75" s="7">
        <v>85</v>
      </c>
      <c r="W75" t="s">
        <v>50</v>
      </c>
      <c r="X75" t="s">
        <v>61</v>
      </c>
      <c r="Y75" t="s">
        <v>61</v>
      </c>
      <c r="Z75" t="s">
        <v>102</v>
      </c>
      <c r="AA75" s="5">
        <f t="shared" si="24"/>
        <v>-59.5</v>
      </c>
      <c r="AB75" s="5">
        <f t="shared" si="25"/>
        <v>175</v>
      </c>
      <c r="AC75" t="s">
        <v>53</v>
      </c>
      <c r="AD75" t="s">
        <v>531</v>
      </c>
      <c r="AE75" s="8">
        <v>0.57818398632792567</v>
      </c>
      <c r="AF75" t="s">
        <v>544</v>
      </c>
      <c r="AG75" s="5">
        <f t="shared" si="26"/>
        <v>1.8</v>
      </c>
      <c r="AH75" s="5">
        <f t="shared" si="27"/>
        <v>0.4</v>
      </c>
      <c r="AI75" s="7">
        <v>18</v>
      </c>
      <c r="AJ75" s="7">
        <v>4</v>
      </c>
      <c r="AK75" s="7">
        <v>18</v>
      </c>
      <c r="AL75" s="7">
        <v>4</v>
      </c>
      <c r="AM75" t="s">
        <v>50</v>
      </c>
      <c r="AN75" t="s">
        <v>50</v>
      </c>
      <c r="AO75" s="5">
        <f t="shared" si="28"/>
        <v>14.5</v>
      </c>
      <c r="AP75" s="5">
        <f t="shared" si="29"/>
        <v>110.39</v>
      </c>
      <c r="AQ75" s="5">
        <v>-1557.399999999999</v>
      </c>
      <c r="AR75" s="8" t="s">
        <v>545</v>
      </c>
      <c r="AS75" t="s">
        <v>546</v>
      </c>
    </row>
    <row r="76" spans="1:45" x14ac:dyDescent="0.35">
      <c r="A76" t="s">
        <v>547</v>
      </c>
      <c r="B76">
        <v>3</v>
      </c>
      <c r="C76">
        <v>27</v>
      </c>
      <c r="D76" t="s">
        <v>548</v>
      </c>
      <c r="E76">
        <v>1</v>
      </c>
      <c r="F76" t="s">
        <v>79</v>
      </c>
      <c r="G76" s="6">
        <v>1921</v>
      </c>
      <c r="H76" t="s">
        <v>549</v>
      </c>
      <c r="I76" t="s">
        <v>550</v>
      </c>
      <c r="J76" s="5">
        <f t="shared" si="20"/>
        <v>0.8</v>
      </c>
      <c r="K76" s="5">
        <f t="shared" si="21"/>
        <v>6.8</v>
      </c>
      <c r="L76" s="5">
        <f t="shared" si="22"/>
        <v>7.8</v>
      </c>
      <c r="M76" s="5">
        <v>-0.28000000000000003</v>
      </c>
      <c r="N76" s="5">
        <f t="shared" si="23"/>
        <v>15.4</v>
      </c>
      <c r="P76"/>
      <c r="Q76" s="7">
        <v>8</v>
      </c>
      <c r="R76" s="7">
        <v>68</v>
      </c>
      <c r="S76" s="7">
        <v>78</v>
      </c>
      <c r="T76" s="7">
        <v>8</v>
      </c>
      <c r="U76" s="7">
        <v>68</v>
      </c>
      <c r="V76" s="7">
        <v>78</v>
      </c>
      <c r="W76" t="s">
        <v>50</v>
      </c>
      <c r="X76" t="s">
        <v>61</v>
      </c>
      <c r="Y76" t="s">
        <v>61</v>
      </c>
      <c r="Z76" t="s">
        <v>52</v>
      </c>
      <c r="AA76" s="5">
        <f t="shared" si="24"/>
        <v>-21.84</v>
      </c>
      <c r="AB76" s="5">
        <f t="shared" si="25"/>
        <v>154</v>
      </c>
      <c r="AC76" t="s">
        <v>53</v>
      </c>
      <c r="AD76" t="s">
        <v>551</v>
      </c>
      <c r="AE76" s="8">
        <v>0.58918413937353331</v>
      </c>
      <c r="AF76" t="s">
        <v>552</v>
      </c>
      <c r="AG76" s="5">
        <f t="shared" si="26"/>
        <v>5.4</v>
      </c>
      <c r="AH76" s="5">
        <f t="shared" si="27"/>
        <v>0.6</v>
      </c>
      <c r="AI76" s="7">
        <v>54</v>
      </c>
      <c r="AJ76" s="7">
        <v>6</v>
      </c>
      <c r="AK76" s="7">
        <v>54</v>
      </c>
      <c r="AL76" s="7">
        <v>6</v>
      </c>
      <c r="AM76" t="s">
        <v>51</v>
      </c>
      <c r="AN76" t="s">
        <v>50</v>
      </c>
      <c r="AO76" s="5">
        <f t="shared" si="28"/>
        <v>42</v>
      </c>
      <c r="AP76" s="5">
        <f t="shared" si="29"/>
        <v>123</v>
      </c>
      <c r="AQ76" s="5">
        <v>-1579.2399999999991</v>
      </c>
      <c r="AR76" s="8" t="s">
        <v>553</v>
      </c>
      <c r="AS76" t="s">
        <v>554</v>
      </c>
    </row>
    <row r="77" spans="1:45" x14ac:dyDescent="0.35">
      <c r="A77" t="s">
        <v>555</v>
      </c>
      <c r="B77">
        <v>3</v>
      </c>
      <c r="C77">
        <v>27</v>
      </c>
      <c r="D77" t="s">
        <v>548</v>
      </c>
      <c r="E77">
        <v>2</v>
      </c>
      <c r="F77" t="s">
        <v>79</v>
      </c>
      <c r="G77" s="6">
        <v>1528</v>
      </c>
      <c r="H77" t="s">
        <v>556</v>
      </c>
      <c r="I77" t="s">
        <v>557</v>
      </c>
      <c r="J77" s="5">
        <f t="shared" si="20"/>
        <v>1</v>
      </c>
      <c r="K77" s="5">
        <f t="shared" si="21"/>
        <v>7</v>
      </c>
      <c r="L77" s="5">
        <f t="shared" si="22"/>
        <v>8</v>
      </c>
      <c r="M77" s="5">
        <v>-0.2</v>
      </c>
      <c r="N77" s="5">
        <f t="shared" si="23"/>
        <v>16</v>
      </c>
      <c r="P77"/>
      <c r="Q77" s="7">
        <v>10</v>
      </c>
      <c r="R77" s="7">
        <v>70</v>
      </c>
      <c r="S77" s="7">
        <v>80</v>
      </c>
      <c r="T77" s="7">
        <v>10</v>
      </c>
      <c r="U77" s="7">
        <v>70</v>
      </c>
      <c r="V77" s="7">
        <v>80</v>
      </c>
      <c r="W77" t="s">
        <v>50</v>
      </c>
      <c r="X77" t="s">
        <v>61</v>
      </c>
      <c r="Y77" t="s">
        <v>61</v>
      </c>
      <c r="Z77" t="s">
        <v>52</v>
      </c>
      <c r="AA77" s="5">
        <f t="shared" si="24"/>
        <v>-16</v>
      </c>
      <c r="AB77" s="5">
        <f t="shared" si="25"/>
        <v>160</v>
      </c>
      <c r="AC77" t="s">
        <v>53</v>
      </c>
      <c r="AD77" t="s">
        <v>551</v>
      </c>
      <c r="AE77" s="8">
        <v>0.60018110396898272</v>
      </c>
      <c r="AF77" t="s">
        <v>558</v>
      </c>
      <c r="AG77" s="5">
        <f t="shared" si="26"/>
        <v>6</v>
      </c>
      <c r="AH77" s="5">
        <f t="shared" si="27"/>
        <v>0.8</v>
      </c>
      <c r="AI77" s="7">
        <v>60</v>
      </c>
      <c r="AJ77" s="7">
        <v>8</v>
      </c>
      <c r="AK77" s="7">
        <v>60</v>
      </c>
      <c r="AL77" s="7">
        <v>8</v>
      </c>
      <c r="AM77" t="s">
        <v>51</v>
      </c>
      <c r="AN77" t="s">
        <v>50</v>
      </c>
      <c r="AO77" s="5">
        <f t="shared" si="28"/>
        <v>47</v>
      </c>
      <c r="AP77" s="5">
        <f t="shared" si="29"/>
        <v>131.71</v>
      </c>
      <c r="AQ77" s="5">
        <v>-1595.2399999999991</v>
      </c>
      <c r="AR77" s="8" t="s">
        <v>559</v>
      </c>
      <c r="AS77" t="s">
        <v>560</v>
      </c>
    </row>
    <row r="78" spans="1:45" x14ac:dyDescent="0.35">
      <c r="A78" t="s">
        <v>561</v>
      </c>
      <c r="B78">
        <v>3</v>
      </c>
      <c r="C78">
        <v>27</v>
      </c>
      <c r="D78" t="s">
        <v>548</v>
      </c>
      <c r="E78">
        <v>3</v>
      </c>
      <c r="F78" t="s">
        <v>79</v>
      </c>
      <c r="G78" s="6">
        <v>853</v>
      </c>
      <c r="H78" t="s">
        <v>562</v>
      </c>
      <c r="I78" t="s">
        <v>563</v>
      </c>
      <c r="J78" s="5">
        <f t="shared" si="20"/>
        <v>1.2</v>
      </c>
      <c r="K78" s="5">
        <f t="shared" si="21"/>
        <v>7.4</v>
      </c>
      <c r="L78" s="5">
        <f t="shared" si="22"/>
        <v>8.1999999999999993</v>
      </c>
      <c r="M78" s="5">
        <v>-0.16</v>
      </c>
      <c r="N78" s="5">
        <f t="shared" si="23"/>
        <v>16.8</v>
      </c>
      <c r="P78"/>
      <c r="Q78" s="7">
        <v>12</v>
      </c>
      <c r="R78" s="7">
        <v>74</v>
      </c>
      <c r="S78" s="7">
        <v>82</v>
      </c>
      <c r="T78" s="7">
        <v>12</v>
      </c>
      <c r="U78" s="7">
        <v>74</v>
      </c>
      <c r="V78" s="7">
        <v>82</v>
      </c>
      <c r="W78" t="s">
        <v>50</v>
      </c>
      <c r="X78" t="s">
        <v>61</v>
      </c>
      <c r="Y78" t="s">
        <v>61</v>
      </c>
      <c r="Z78" t="s">
        <v>52</v>
      </c>
      <c r="AA78" s="5">
        <f t="shared" si="24"/>
        <v>-13.12</v>
      </c>
      <c r="AB78" s="5">
        <f t="shared" si="25"/>
        <v>168</v>
      </c>
      <c r="AC78" t="s">
        <v>53</v>
      </c>
      <c r="AD78" t="s">
        <v>551</v>
      </c>
      <c r="AE78" s="8">
        <v>0.60777280379553111</v>
      </c>
      <c r="AF78" t="s">
        <v>564</v>
      </c>
      <c r="AG78" s="5">
        <f t="shared" si="26"/>
        <v>5.8</v>
      </c>
      <c r="AH78" s="5">
        <f t="shared" si="27"/>
        <v>0.6</v>
      </c>
      <c r="AI78" s="7">
        <v>58</v>
      </c>
      <c r="AJ78" s="7">
        <v>6</v>
      </c>
      <c r="AK78" s="7">
        <v>58</v>
      </c>
      <c r="AL78" s="7">
        <v>6</v>
      </c>
      <c r="AM78" t="s">
        <v>51</v>
      </c>
      <c r="AN78" t="s">
        <v>50</v>
      </c>
      <c r="AO78" s="5">
        <f t="shared" si="28"/>
        <v>45</v>
      </c>
      <c r="AP78" s="5">
        <f t="shared" si="29"/>
        <v>135.33000000000001</v>
      </c>
      <c r="AQ78" s="5">
        <v>-1608.359999999999</v>
      </c>
      <c r="AR78" s="8" t="s">
        <v>565</v>
      </c>
      <c r="AS78" t="s">
        <v>566</v>
      </c>
    </row>
    <row r="79" spans="1:45" x14ac:dyDescent="0.35">
      <c r="A79" t="s">
        <v>567</v>
      </c>
      <c r="B79">
        <v>3</v>
      </c>
      <c r="C79">
        <v>28</v>
      </c>
      <c r="D79" t="s">
        <v>568</v>
      </c>
      <c r="E79">
        <v>1</v>
      </c>
      <c r="F79" t="s">
        <v>47</v>
      </c>
      <c r="G79" s="6">
        <v>1334</v>
      </c>
      <c r="H79" t="s">
        <v>569</v>
      </c>
      <c r="I79" t="s">
        <v>570</v>
      </c>
      <c r="J79" s="5">
        <f t="shared" si="20"/>
        <v>2.4</v>
      </c>
      <c r="K79" s="5">
        <f t="shared" si="21"/>
        <v>7.4</v>
      </c>
      <c r="L79" s="5">
        <f t="shared" si="22"/>
        <v>8.6</v>
      </c>
      <c r="M79" s="5">
        <v>-0.48</v>
      </c>
      <c r="N79" s="5">
        <f t="shared" si="23"/>
        <v>18.399999999999999</v>
      </c>
      <c r="P79"/>
      <c r="Q79" s="7">
        <v>24</v>
      </c>
      <c r="R79" s="7">
        <v>74</v>
      </c>
      <c r="S79" s="7">
        <v>86</v>
      </c>
      <c r="T79" s="7">
        <v>24</v>
      </c>
      <c r="U79" s="7">
        <v>74</v>
      </c>
      <c r="V79" s="7">
        <v>86</v>
      </c>
      <c r="W79" t="s">
        <v>50</v>
      </c>
      <c r="X79" t="s">
        <v>61</v>
      </c>
      <c r="Y79" t="s">
        <v>61</v>
      </c>
      <c r="Z79" t="s">
        <v>102</v>
      </c>
      <c r="AA79" s="5">
        <f t="shared" si="24"/>
        <v>-41.28</v>
      </c>
      <c r="AB79" s="5">
        <f t="shared" si="25"/>
        <v>184</v>
      </c>
      <c r="AC79" t="s">
        <v>53</v>
      </c>
      <c r="AD79" t="s">
        <v>571</v>
      </c>
      <c r="AE79" s="8">
        <v>0.61474594429139884</v>
      </c>
      <c r="AF79" t="s">
        <v>572</v>
      </c>
      <c r="AG79" s="5">
        <f t="shared" si="26"/>
        <v>1.8</v>
      </c>
      <c r="AH79" s="5">
        <f t="shared" si="27"/>
        <v>0.4</v>
      </c>
      <c r="AI79" s="7">
        <v>18</v>
      </c>
      <c r="AJ79" s="7">
        <v>4</v>
      </c>
      <c r="AK79" s="7">
        <v>18</v>
      </c>
      <c r="AL79" s="7">
        <v>4</v>
      </c>
      <c r="AM79" t="s">
        <v>50</v>
      </c>
      <c r="AN79" t="s">
        <v>50</v>
      </c>
      <c r="AO79" s="5">
        <f t="shared" si="28"/>
        <v>14.5</v>
      </c>
      <c r="AP79" s="5">
        <f t="shared" si="29"/>
        <v>115.73</v>
      </c>
      <c r="AQ79" s="5">
        <v>-1649.639999999999</v>
      </c>
      <c r="AR79" s="8" t="s">
        <v>573</v>
      </c>
      <c r="AS79" t="s">
        <v>574</v>
      </c>
    </row>
    <row r="80" spans="1:45" x14ac:dyDescent="0.35">
      <c r="A80" t="s">
        <v>575</v>
      </c>
      <c r="B80">
        <v>3</v>
      </c>
      <c r="C80">
        <v>28</v>
      </c>
      <c r="D80" t="s">
        <v>568</v>
      </c>
      <c r="E80">
        <v>2</v>
      </c>
      <c r="F80" t="s">
        <v>47</v>
      </c>
      <c r="G80" s="6">
        <v>1219</v>
      </c>
      <c r="H80" t="s">
        <v>576</v>
      </c>
      <c r="I80" t="s">
        <v>577</v>
      </c>
      <c r="J80" s="5">
        <f t="shared" si="20"/>
        <v>7.8</v>
      </c>
      <c r="K80" s="5">
        <f t="shared" si="21"/>
        <v>8</v>
      </c>
      <c r="L80" s="5">
        <f t="shared" si="22"/>
        <v>8.8000000000000007</v>
      </c>
      <c r="M80" s="5">
        <v>-0.4</v>
      </c>
      <c r="N80" s="5">
        <f t="shared" si="23"/>
        <v>24.6</v>
      </c>
      <c r="P80"/>
      <c r="Q80" s="7">
        <v>78</v>
      </c>
      <c r="R80" s="7">
        <v>80</v>
      </c>
      <c r="S80" s="7">
        <v>88</v>
      </c>
      <c r="T80" s="7">
        <v>78</v>
      </c>
      <c r="U80" s="7">
        <v>80</v>
      </c>
      <c r="V80" s="7">
        <v>88</v>
      </c>
      <c r="W80" t="s">
        <v>61</v>
      </c>
      <c r="X80" t="s">
        <v>61</v>
      </c>
      <c r="Y80" t="s">
        <v>61</v>
      </c>
      <c r="Z80" t="s">
        <v>102</v>
      </c>
      <c r="AA80" s="5">
        <f t="shared" si="24"/>
        <v>-35.200000000000003</v>
      </c>
      <c r="AB80" s="5">
        <f t="shared" si="25"/>
        <v>246</v>
      </c>
      <c r="AC80" t="s">
        <v>53</v>
      </c>
      <c r="AD80" t="s">
        <v>571</v>
      </c>
      <c r="AE80" s="8">
        <v>0.62288605754514847</v>
      </c>
      <c r="AF80" t="s">
        <v>578</v>
      </c>
      <c r="AG80" s="5">
        <f t="shared" si="26"/>
        <v>3</v>
      </c>
      <c r="AH80" s="5">
        <f t="shared" si="27"/>
        <v>0.4</v>
      </c>
      <c r="AI80" s="7">
        <v>30</v>
      </c>
      <c r="AJ80" s="7">
        <v>4</v>
      </c>
      <c r="AK80" s="7">
        <v>30</v>
      </c>
      <c r="AL80" s="7">
        <v>4</v>
      </c>
      <c r="AM80" t="s">
        <v>50</v>
      </c>
      <c r="AN80" t="s">
        <v>50</v>
      </c>
      <c r="AO80" s="5">
        <f t="shared" si="28"/>
        <v>23.5</v>
      </c>
      <c r="AP80" s="5">
        <f t="shared" si="29"/>
        <v>163.22</v>
      </c>
      <c r="AQ80" s="5">
        <v>-1684.839999999999</v>
      </c>
      <c r="AR80" s="8" t="s">
        <v>579</v>
      </c>
      <c r="AS80" t="s">
        <v>580</v>
      </c>
    </row>
    <row r="81" spans="1:45" x14ac:dyDescent="0.35">
      <c r="A81" t="s">
        <v>581</v>
      </c>
      <c r="B81">
        <v>3</v>
      </c>
      <c r="C81">
        <v>28</v>
      </c>
      <c r="D81" t="s">
        <v>568</v>
      </c>
      <c r="E81">
        <v>3</v>
      </c>
      <c r="F81" t="s">
        <v>47</v>
      </c>
      <c r="G81" s="6">
        <v>597</v>
      </c>
      <c r="H81" t="s">
        <v>582</v>
      </c>
      <c r="I81" t="s">
        <v>583</v>
      </c>
      <c r="J81" s="5">
        <f t="shared" si="20"/>
        <v>2</v>
      </c>
      <c r="K81" s="5">
        <f t="shared" si="21"/>
        <v>7.6</v>
      </c>
      <c r="L81" s="5">
        <f t="shared" si="22"/>
        <v>8.4</v>
      </c>
      <c r="M81" s="5">
        <v>-0.56000000000000005</v>
      </c>
      <c r="N81" s="5">
        <f t="shared" si="23"/>
        <v>18</v>
      </c>
      <c r="P81"/>
      <c r="Q81" s="7">
        <v>20</v>
      </c>
      <c r="R81" s="7">
        <v>76</v>
      </c>
      <c r="S81" s="7">
        <v>84</v>
      </c>
      <c r="T81" s="7">
        <v>20</v>
      </c>
      <c r="U81" s="7">
        <v>76</v>
      </c>
      <c r="V81" s="7">
        <v>84</v>
      </c>
      <c r="W81" t="s">
        <v>50</v>
      </c>
      <c r="X81" t="s">
        <v>61</v>
      </c>
      <c r="Y81" t="s">
        <v>61</v>
      </c>
      <c r="Z81" t="s">
        <v>102</v>
      </c>
      <c r="AA81" s="5">
        <f t="shared" si="24"/>
        <v>-47.04</v>
      </c>
      <c r="AB81" s="5">
        <f t="shared" si="25"/>
        <v>180</v>
      </c>
      <c r="AC81" t="s">
        <v>53</v>
      </c>
      <c r="AD81" t="s">
        <v>571</v>
      </c>
      <c r="AE81" s="8">
        <v>0.62867628303234369</v>
      </c>
      <c r="AF81" t="s">
        <v>584</v>
      </c>
      <c r="AG81" s="5">
        <f t="shared" si="26"/>
        <v>2.6</v>
      </c>
      <c r="AH81" s="5">
        <f t="shared" si="27"/>
        <v>0.4</v>
      </c>
      <c r="AI81" s="7">
        <v>26</v>
      </c>
      <c r="AJ81" s="7">
        <v>4</v>
      </c>
      <c r="AK81" s="7">
        <v>26</v>
      </c>
      <c r="AL81" s="7">
        <v>4</v>
      </c>
      <c r="AM81" t="s">
        <v>50</v>
      </c>
      <c r="AN81" t="s">
        <v>50</v>
      </c>
      <c r="AO81" s="5">
        <f t="shared" si="28"/>
        <v>20.5</v>
      </c>
      <c r="AP81" s="5">
        <f t="shared" si="29"/>
        <v>119.3</v>
      </c>
      <c r="AQ81" s="5">
        <v>-1731.879999999999</v>
      </c>
      <c r="AR81" s="8" t="s">
        <v>585</v>
      </c>
      <c r="AS81" t="s">
        <v>586</v>
      </c>
    </row>
    <row r="82" spans="1:45" x14ac:dyDescent="0.35">
      <c r="A82" t="s">
        <v>587</v>
      </c>
      <c r="B82">
        <v>3</v>
      </c>
      <c r="C82">
        <v>29</v>
      </c>
      <c r="D82" t="s">
        <v>588</v>
      </c>
      <c r="E82">
        <v>1</v>
      </c>
      <c r="F82" t="s">
        <v>79</v>
      </c>
      <c r="G82" s="6">
        <v>951</v>
      </c>
      <c r="H82" t="s">
        <v>589</v>
      </c>
      <c r="I82" t="s">
        <v>590</v>
      </c>
      <c r="J82" s="5">
        <f t="shared" si="20"/>
        <v>1.8</v>
      </c>
      <c r="K82" s="5">
        <f t="shared" si="21"/>
        <v>7.8</v>
      </c>
      <c r="L82" s="5">
        <f t="shared" si="22"/>
        <v>8.4</v>
      </c>
      <c r="M82" s="5">
        <v>-0.42</v>
      </c>
      <c r="N82" s="5">
        <f t="shared" si="23"/>
        <v>18</v>
      </c>
      <c r="P82"/>
      <c r="Q82" s="7">
        <v>18</v>
      </c>
      <c r="R82" s="7">
        <v>78</v>
      </c>
      <c r="S82" s="7">
        <v>84</v>
      </c>
      <c r="T82" s="7">
        <v>18</v>
      </c>
      <c r="U82" s="7">
        <v>78</v>
      </c>
      <c r="V82" s="7">
        <v>84</v>
      </c>
      <c r="W82" t="s">
        <v>50</v>
      </c>
      <c r="X82" t="s">
        <v>61</v>
      </c>
      <c r="Y82" t="s">
        <v>61</v>
      </c>
      <c r="Z82" t="s">
        <v>102</v>
      </c>
      <c r="AA82" s="5">
        <f t="shared" si="24"/>
        <v>-35.28</v>
      </c>
      <c r="AB82" s="5">
        <f t="shared" si="25"/>
        <v>180</v>
      </c>
      <c r="AC82" t="s">
        <v>53</v>
      </c>
      <c r="AD82" t="s">
        <v>591</v>
      </c>
      <c r="AE82" s="8">
        <v>0.63361200387715544</v>
      </c>
      <c r="AF82" t="s">
        <v>592</v>
      </c>
      <c r="AG82" s="5">
        <f t="shared" si="26"/>
        <v>3</v>
      </c>
      <c r="AH82" s="5">
        <f t="shared" si="27"/>
        <v>0.8</v>
      </c>
      <c r="AI82" s="7">
        <v>30</v>
      </c>
      <c r="AJ82" s="7">
        <v>8</v>
      </c>
      <c r="AK82" s="7">
        <v>30</v>
      </c>
      <c r="AL82" s="7">
        <v>8</v>
      </c>
      <c r="AM82" t="s">
        <v>50</v>
      </c>
      <c r="AN82" t="s">
        <v>50</v>
      </c>
      <c r="AO82" s="5">
        <f t="shared" si="28"/>
        <v>24.5</v>
      </c>
      <c r="AP82" s="5">
        <f t="shared" si="29"/>
        <v>123.26</v>
      </c>
      <c r="AQ82" s="5">
        <v>-1767.1599999999989</v>
      </c>
      <c r="AR82" s="8" t="s">
        <v>593</v>
      </c>
      <c r="AS82" t="s">
        <v>594</v>
      </c>
    </row>
    <row r="83" spans="1:45" x14ac:dyDescent="0.35">
      <c r="A83" t="s">
        <v>595</v>
      </c>
      <c r="B83">
        <v>3</v>
      </c>
      <c r="C83">
        <v>29</v>
      </c>
      <c r="D83" t="s">
        <v>588</v>
      </c>
      <c r="E83">
        <v>2</v>
      </c>
      <c r="F83" t="s">
        <v>79</v>
      </c>
      <c r="G83" s="6">
        <v>898</v>
      </c>
      <c r="H83" t="s">
        <v>596</v>
      </c>
      <c r="I83" t="s">
        <v>597</v>
      </c>
      <c r="J83" s="5">
        <f t="shared" si="20"/>
        <v>1.6</v>
      </c>
      <c r="K83" s="5">
        <f t="shared" si="21"/>
        <v>7.4</v>
      </c>
      <c r="L83" s="5">
        <f t="shared" si="22"/>
        <v>8</v>
      </c>
      <c r="M83" s="5">
        <v>-0.24</v>
      </c>
      <c r="N83" s="5">
        <f t="shared" si="23"/>
        <v>17</v>
      </c>
      <c r="P83"/>
      <c r="Q83" s="7">
        <v>16</v>
      </c>
      <c r="R83" s="7">
        <v>74</v>
      </c>
      <c r="S83" s="7">
        <v>80</v>
      </c>
      <c r="T83" s="7">
        <v>16</v>
      </c>
      <c r="U83" s="7">
        <v>74</v>
      </c>
      <c r="V83" s="7">
        <v>80</v>
      </c>
      <c r="W83" t="s">
        <v>50</v>
      </c>
      <c r="X83" t="s">
        <v>61</v>
      </c>
      <c r="Y83" t="s">
        <v>61</v>
      </c>
      <c r="Z83" t="s">
        <v>52</v>
      </c>
      <c r="AA83" s="5">
        <f t="shared" si="24"/>
        <v>-19.2</v>
      </c>
      <c r="AB83" s="5">
        <f t="shared" si="25"/>
        <v>170</v>
      </c>
      <c r="AC83" t="s">
        <v>53</v>
      </c>
      <c r="AD83" t="s">
        <v>591</v>
      </c>
      <c r="AE83" s="8">
        <v>0.6395074482195694</v>
      </c>
      <c r="AF83" t="s">
        <v>598</v>
      </c>
      <c r="AG83" s="5">
        <f t="shared" si="26"/>
        <v>3.4</v>
      </c>
      <c r="AH83" s="5">
        <f t="shared" si="27"/>
        <v>1</v>
      </c>
      <c r="AI83" s="7">
        <v>34</v>
      </c>
      <c r="AJ83" s="7">
        <v>10</v>
      </c>
      <c r="AK83" s="7">
        <v>34</v>
      </c>
      <c r="AL83" s="7">
        <v>10</v>
      </c>
      <c r="AM83" t="s">
        <v>51</v>
      </c>
      <c r="AN83" t="s">
        <v>50</v>
      </c>
      <c r="AO83" s="5">
        <f t="shared" si="28"/>
        <v>28</v>
      </c>
      <c r="AP83" s="5">
        <f t="shared" si="29"/>
        <v>120.38</v>
      </c>
      <c r="AQ83" s="5">
        <v>-1786.359999999999</v>
      </c>
      <c r="AR83" s="8" t="s">
        <v>599</v>
      </c>
      <c r="AS83" t="s">
        <v>600</v>
      </c>
    </row>
    <row r="84" spans="1:45" x14ac:dyDescent="0.35">
      <c r="A84" t="s">
        <v>601</v>
      </c>
      <c r="B84">
        <v>3</v>
      </c>
      <c r="C84">
        <v>29</v>
      </c>
      <c r="D84" t="s">
        <v>588</v>
      </c>
      <c r="E84">
        <v>3</v>
      </c>
      <c r="F84" t="s">
        <v>79</v>
      </c>
      <c r="G84" s="6">
        <v>858</v>
      </c>
      <c r="H84" t="s">
        <v>596</v>
      </c>
      <c r="I84" t="s">
        <v>602</v>
      </c>
      <c r="J84" s="5">
        <f t="shared" si="20"/>
        <v>1.4</v>
      </c>
      <c r="K84" s="5">
        <f t="shared" si="21"/>
        <v>7.6</v>
      </c>
      <c r="L84" s="5">
        <f t="shared" si="22"/>
        <v>8.3000000000000007</v>
      </c>
      <c r="M84" s="5">
        <v>-0.3</v>
      </c>
      <c r="N84" s="5">
        <f t="shared" si="23"/>
        <v>17.3</v>
      </c>
      <c r="P84"/>
      <c r="Q84" s="7">
        <v>14</v>
      </c>
      <c r="R84" s="7">
        <v>76</v>
      </c>
      <c r="S84" s="7">
        <v>83</v>
      </c>
      <c r="T84" s="7">
        <v>14</v>
      </c>
      <c r="U84" s="7">
        <v>76</v>
      </c>
      <c r="V84" s="7">
        <v>83</v>
      </c>
      <c r="W84" t="s">
        <v>50</v>
      </c>
      <c r="X84" t="s">
        <v>61</v>
      </c>
      <c r="Y84" t="s">
        <v>61</v>
      </c>
      <c r="Z84" t="s">
        <v>52</v>
      </c>
      <c r="AA84" s="5">
        <f t="shared" si="24"/>
        <v>-24.9</v>
      </c>
      <c r="AB84" s="5">
        <f t="shared" si="25"/>
        <v>173</v>
      </c>
      <c r="AC84" t="s">
        <v>53</v>
      </c>
      <c r="AD84" t="s">
        <v>591</v>
      </c>
      <c r="AE84" s="8">
        <v>0.64510636669727583</v>
      </c>
      <c r="AF84" t="s">
        <v>603</v>
      </c>
      <c r="AG84" s="5">
        <f t="shared" si="26"/>
        <v>2.8</v>
      </c>
      <c r="AH84" s="5">
        <f t="shared" si="27"/>
        <v>0.8</v>
      </c>
      <c r="AI84" s="7">
        <v>28</v>
      </c>
      <c r="AJ84" s="7">
        <v>8</v>
      </c>
      <c r="AK84" s="7">
        <v>28</v>
      </c>
      <c r="AL84" s="7">
        <v>8</v>
      </c>
      <c r="AM84" t="s">
        <v>50</v>
      </c>
      <c r="AN84" t="s">
        <v>50</v>
      </c>
      <c r="AO84" s="5">
        <f t="shared" si="28"/>
        <v>23</v>
      </c>
      <c r="AP84" s="5">
        <f t="shared" si="29"/>
        <v>117.44</v>
      </c>
      <c r="AQ84" s="5">
        <v>-1811.2599999999991</v>
      </c>
      <c r="AR84" s="8" t="s">
        <v>604</v>
      </c>
      <c r="AS84" t="s">
        <v>605</v>
      </c>
    </row>
    <row r="85" spans="1:45" x14ac:dyDescent="0.35">
      <c r="A85" t="s">
        <v>606</v>
      </c>
      <c r="B85">
        <v>3</v>
      </c>
      <c r="C85">
        <v>29</v>
      </c>
      <c r="D85" t="s">
        <v>588</v>
      </c>
      <c r="E85">
        <v>4</v>
      </c>
      <c r="F85" t="s">
        <v>47</v>
      </c>
      <c r="G85" s="6">
        <v>877</v>
      </c>
      <c r="H85" t="s">
        <v>607</v>
      </c>
      <c r="I85" t="s">
        <v>608</v>
      </c>
      <c r="J85" s="5">
        <f t="shared" si="20"/>
        <v>5.2</v>
      </c>
      <c r="K85" s="5">
        <f t="shared" si="21"/>
        <v>8.4</v>
      </c>
      <c r="L85" s="5">
        <f t="shared" si="22"/>
        <v>9</v>
      </c>
      <c r="M85" s="5">
        <v>-0.74</v>
      </c>
      <c r="N85" s="5">
        <f t="shared" si="23"/>
        <v>22.6</v>
      </c>
      <c r="P85"/>
      <c r="Q85" s="7">
        <v>52</v>
      </c>
      <c r="R85" s="7">
        <v>84</v>
      </c>
      <c r="S85" s="7">
        <v>90</v>
      </c>
      <c r="T85" s="7">
        <v>52</v>
      </c>
      <c r="U85" s="7">
        <v>84</v>
      </c>
      <c r="V85" s="7">
        <v>90</v>
      </c>
      <c r="W85" t="s">
        <v>51</v>
      </c>
      <c r="X85" t="s">
        <v>61</v>
      </c>
      <c r="Y85" t="s">
        <v>523</v>
      </c>
      <c r="Z85" t="s">
        <v>102</v>
      </c>
      <c r="AA85" s="5">
        <f t="shared" si="24"/>
        <v>-66.599999999999994</v>
      </c>
      <c r="AB85" s="5">
        <f t="shared" si="25"/>
        <v>226</v>
      </c>
      <c r="AC85" t="s">
        <v>53</v>
      </c>
      <c r="AD85" t="s">
        <v>591</v>
      </c>
      <c r="AE85" s="8">
        <v>0.65063832772166108</v>
      </c>
      <c r="AF85" t="s">
        <v>609</v>
      </c>
      <c r="AG85" s="5">
        <f t="shared" si="26"/>
        <v>1.8</v>
      </c>
      <c r="AH85" s="5">
        <f t="shared" si="27"/>
        <v>0.4</v>
      </c>
      <c r="AI85" s="7">
        <v>18</v>
      </c>
      <c r="AJ85" s="7">
        <v>4</v>
      </c>
      <c r="AK85" s="7">
        <v>18</v>
      </c>
      <c r="AL85" s="7">
        <v>4</v>
      </c>
      <c r="AM85" t="s">
        <v>50</v>
      </c>
      <c r="AN85" t="s">
        <v>50</v>
      </c>
      <c r="AO85" s="5">
        <f t="shared" si="28"/>
        <v>14.5</v>
      </c>
      <c r="AP85" s="5">
        <f t="shared" si="29"/>
        <v>140.66</v>
      </c>
      <c r="AQ85" s="5">
        <v>-1877.859999999999</v>
      </c>
      <c r="AR85" s="8" t="s">
        <v>610</v>
      </c>
      <c r="AS85" t="s">
        <v>611</v>
      </c>
    </row>
    <row r="86" spans="1:45" x14ac:dyDescent="0.35">
      <c r="A86" t="s">
        <v>612</v>
      </c>
      <c r="B86">
        <v>3</v>
      </c>
      <c r="C86">
        <v>30</v>
      </c>
      <c r="D86" t="s">
        <v>613</v>
      </c>
      <c r="E86">
        <v>1</v>
      </c>
      <c r="F86" t="s">
        <v>79</v>
      </c>
      <c r="G86" s="6">
        <v>606</v>
      </c>
      <c r="H86" t="s">
        <v>614</v>
      </c>
      <c r="I86" t="s">
        <v>615</v>
      </c>
      <c r="J86" s="5">
        <f t="shared" si="20"/>
        <v>1.2</v>
      </c>
      <c r="K86" s="5">
        <f t="shared" si="21"/>
        <v>7.2</v>
      </c>
      <c r="L86" s="5">
        <f t="shared" si="22"/>
        <v>7.8</v>
      </c>
      <c r="M86" s="5">
        <v>-0.22</v>
      </c>
      <c r="N86" s="5">
        <f t="shared" si="23"/>
        <v>16.2</v>
      </c>
      <c r="P86"/>
      <c r="Q86" s="7">
        <v>12</v>
      </c>
      <c r="R86" s="7">
        <v>72</v>
      </c>
      <c r="S86" s="7">
        <v>78</v>
      </c>
      <c r="T86" s="7">
        <v>12</v>
      </c>
      <c r="U86" s="7">
        <v>72</v>
      </c>
      <c r="V86" s="7">
        <v>78</v>
      </c>
      <c r="W86" t="s">
        <v>50</v>
      </c>
      <c r="X86" t="s">
        <v>61</v>
      </c>
      <c r="Y86" t="s">
        <v>61</v>
      </c>
      <c r="Z86" t="s">
        <v>52</v>
      </c>
      <c r="AA86" s="5">
        <f t="shared" si="24"/>
        <v>-17.16</v>
      </c>
      <c r="AB86" s="5">
        <f t="shared" si="25"/>
        <v>162</v>
      </c>
      <c r="AC86" t="s">
        <v>53</v>
      </c>
      <c r="AD86" t="s">
        <v>616</v>
      </c>
      <c r="AE86" s="8">
        <v>0.65536679930619324</v>
      </c>
      <c r="AF86" t="s">
        <v>617</v>
      </c>
      <c r="AG86" s="5">
        <f t="shared" si="26"/>
        <v>4.2</v>
      </c>
      <c r="AH86" s="5">
        <f t="shared" si="27"/>
        <v>0.6</v>
      </c>
      <c r="AI86" s="7">
        <v>42</v>
      </c>
      <c r="AJ86" s="7">
        <v>6</v>
      </c>
      <c r="AK86" s="7">
        <v>42</v>
      </c>
      <c r="AL86" s="7">
        <v>6</v>
      </c>
      <c r="AM86" t="s">
        <v>51</v>
      </c>
      <c r="AN86" t="s">
        <v>50</v>
      </c>
      <c r="AO86" s="5">
        <f t="shared" si="28"/>
        <v>33</v>
      </c>
      <c r="AP86" s="5">
        <f t="shared" si="29"/>
        <v>119.99</v>
      </c>
      <c r="AQ86" s="5">
        <v>-1895.0199999999991</v>
      </c>
      <c r="AR86" s="8" t="s">
        <v>618</v>
      </c>
      <c r="AS86" t="s">
        <v>619</v>
      </c>
    </row>
    <row r="87" spans="1:45" x14ac:dyDescent="0.35">
      <c r="A87" t="s">
        <v>620</v>
      </c>
      <c r="B87">
        <v>3</v>
      </c>
      <c r="C87">
        <v>30</v>
      </c>
      <c r="D87" t="s">
        <v>613</v>
      </c>
      <c r="E87">
        <v>2</v>
      </c>
      <c r="F87" t="s">
        <v>47</v>
      </c>
      <c r="G87" s="6">
        <v>625</v>
      </c>
      <c r="H87" t="s">
        <v>621</v>
      </c>
      <c r="I87" t="s">
        <v>622</v>
      </c>
      <c r="J87" s="5">
        <f t="shared" si="20"/>
        <v>1.6</v>
      </c>
      <c r="K87" s="5">
        <f t="shared" si="21"/>
        <v>7.6</v>
      </c>
      <c r="L87" s="5">
        <f t="shared" si="22"/>
        <v>8.1999999999999993</v>
      </c>
      <c r="M87" s="5">
        <v>-0.18</v>
      </c>
      <c r="N87" s="5">
        <f t="shared" si="23"/>
        <v>17.399999999999999</v>
      </c>
      <c r="P87"/>
      <c r="Q87" s="7">
        <v>16</v>
      </c>
      <c r="R87" s="7">
        <v>76</v>
      </c>
      <c r="S87" s="7">
        <v>82</v>
      </c>
      <c r="T87" s="7">
        <v>16</v>
      </c>
      <c r="U87" s="7">
        <v>76</v>
      </c>
      <c r="V87" s="7">
        <v>82</v>
      </c>
      <c r="W87" t="s">
        <v>50</v>
      </c>
      <c r="X87" t="s">
        <v>61</v>
      </c>
      <c r="Y87" t="s">
        <v>61</v>
      </c>
      <c r="Z87" t="s">
        <v>52</v>
      </c>
      <c r="AA87" s="5">
        <f t="shared" si="24"/>
        <v>-14.76</v>
      </c>
      <c r="AB87" s="5">
        <f t="shared" si="25"/>
        <v>174</v>
      </c>
      <c r="AC87" t="s">
        <v>53</v>
      </c>
      <c r="AD87" t="s">
        <v>616</v>
      </c>
      <c r="AE87" s="8">
        <v>0.65929178145087231</v>
      </c>
      <c r="AF87" t="s">
        <v>623</v>
      </c>
      <c r="AG87" s="5">
        <f t="shared" si="26"/>
        <v>4.8</v>
      </c>
      <c r="AH87" s="5">
        <f t="shared" si="27"/>
        <v>0.8</v>
      </c>
      <c r="AI87" s="7">
        <v>48</v>
      </c>
      <c r="AJ87" s="7">
        <v>8</v>
      </c>
      <c r="AK87" s="7">
        <v>48</v>
      </c>
      <c r="AL87" s="7">
        <v>8</v>
      </c>
      <c r="AM87" t="s">
        <v>51</v>
      </c>
      <c r="AN87" t="s">
        <v>50</v>
      </c>
      <c r="AO87" s="5">
        <f t="shared" si="28"/>
        <v>38</v>
      </c>
      <c r="AP87" s="5">
        <f t="shared" si="29"/>
        <v>132.63999999999999</v>
      </c>
      <c r="AQ87" s="5">
        <v>-1909.7799999999991</v>
      </c>
      <c r="AR87" s="8" t="s">
        <v>624</v>
      </c>
      <c r="AS87" t="s">
        <v>625</v>
      </c>
    </row>
    <row r="88" spans="1:45" x14ac:dyDescent="0.35">
      <c r="A88" t="s">
        <v>626</v>
      </c>
      <c r="B88">
        <v>3</v>
      </c>
      <c r="C88">
        <v>30</v>
      </c>
      <c r="D88" t="s">
        <v>613</v>
      </c>
      <c r="E88">
        <v>3</v>
      </c>
      <c r="F88" t="s">
        <v>79</v>
      </c>
      <c r="G88" s="6">
        <v>425</v>
      </c>
      <c r="H88" t="s">
        <v>627</v>
      </c>
      <c r="I88" t="s">
        <v>628</v>
      </c>
      <c r="J88" s="5">
        <f t="shared" si="20"/>
        <v>1</v>
      </c>
      <c r="K88" s="5">
        <f t="shared" si="21"/>
        <v>7.4</v>
      </c>
      <c r="L88" s="5">
        <f t="shared" si="22"/>
        <v>8</v>
      </c>
      <c r="M88" s="5">
        <v>-0.1</v>
      </c>
      <c r="N88" s="5">
        <f t="shared" si="23"/>
        <v>16.399999999999999</v>
      </c>
      <c r="P88"/>
      <c r="Q88" s="7">
        <v>10</v>
      </c>
      <c r="R88" s="7">
        <v>74</v>
      </c>
      <c r="S88" s="7">
        <v>80</v>
      </c>
      <c r="T88" s="7">
        <v>10</v>
      </c>
      <c r="U88" s="7">
        <v>74</v>
      </c>
      <c r="V88" s="7">
        <v>80</v>
      </c>
      <c r="W88" t="s">
        <v>50</v>
      </c>
      <c r="X88" t="s">
        <v>61</v>
      </c>
      <c r="Y88" t="s">
        <v>61</v>
      </c>
      <c r="Z88" t="s">
        <v>52</v>
      </c>
      <c r="AA88" s="5">
        <f t="shared" si="24"/>
        <v>-8</v>
      </c>
      <c r="AB88" s="5">
        <f t="shared" si="25"/>
        <v>164</v>
      </c>
      <c r="AC88" t="s">
        <v>53</v>
      </c>
      <c r="AD88" t="s">
        <v>616</v>
      </c>
      <c r="AE88" s="8">
        <v>0.66263965411692682</v>
      </c>
      <c r="AF88" t="s">
        <v>629</v>
      </c>
      <c r="AG88" s="5">
        <f t="shared" si="26"/>
        <v>5.6</v>
      </c>
      <c r="AH88" s="5">
        <f t="shared" si="27"/>
        <v>0.8</v>
      </c>
      <c r="AI88" s="7">
        <v>56</v>
      </c>
      <c r="AJ88" s="7">
        <v>8</v>
      </c>
      <c r="AK88" s="7">
        <v>56</v>
      </c>
      <c r="AL88" s="7">
        <v>8</v>
      </c>
      <c r="AM88" t="s">
        <v>51</v>
      </c>
      <c r="AN88" t="s">
        <v>50</v>
      </c>
      <c r="AO88" s="5">
        <f t="shared" si="28"/>
        <v>44</v>
      </c>
      <c r="AP88" s="5">
        <f t="shared" si="29"/>
        <v>131.65</v>
      </c>
      <c r="AQ88" s="5">
        <v>-1917.7799999999991</v>
      </c>
      <c r="AR88" s="8" t="s">
        <v>630</v>
      </c>
      <c r="AS88" t="s">
        <v>631</v>
      </c>
    </row>
    <row r="89" spans="1:45" x14ac:dyDescent="0.35">
      <c r="A89" t="s">
        <v>632</v>
      </c>
      <c r="B89">
        <v>3</v>
      </c>
      <c r="C89">
        <v>30</v>
      </c>
      <c r="D89" t="s">
        <v>613</v>
      </c>
      <c r="E89">
        <v>4</v>
      </c>
      <c r="F89" t="s">
        <v>47</v>
      </c>
      <c r="G89" s="6">
        <v>240</v>
      </c>
      <c r="H89" t="s">
        <v>633</v>
      </c>
      <c r="I89" t="s">
        <v>634</v>
      </c>
      <c r="J89" s="5">
        <f t="shared" si="20"/>
        <v>2</v>
      </c>
      <c r="K89" s="5">
        <f t="shared" si="21"/>
        <v>8.1999999999999993</v>
      </c>
      <c r="L89" s="5">
        <f t="shared" si="22"/>
        <v>8.8000000000000007</v>
      </c>
      <c r="M89" s="5">
        <v>-0.68</v>
      </c>
      <c r="N89" s="5">
        <f t="shared" si="23"/>
        <v>19</v>
      </c>
      <c r="P89"/>
      <c r="Q89" s="7">
        <v>20</v>
      </c>
      <c r="R89" s="7">
        <v>82</v>
      </c>
      <c r="S89" s="7">
        <v>88</v>
      </c>
      <c r="T89" s="7">
        <v>20</v>
      </c>
      <c r="U89" s="7">
        <v>82</v>
      </c>
      <c r="V89" s="7">
        <v>88</v>
      </c>
      <c r="W89" t="s">
        <v>50</v>
      </c>
      <c r="X89" t="s">
        <v>61</v>
      </c>
      <c r="Y89" t="s">
        <v>61</v>
      </c>
      <c r="Z89" t="s">
        <v>102</v>
      </c>
      <c r="AA89" s="5">
        <f t="shared" si="24"/>
        <v>-59.84</v>
      </c>
      <c r="AB89" s="5">
        <f t="shared" si="25"/>
        <v>190</v>
      </c>
      <c r="AC89" t="s">
        <v>53</v>
      </c>
      <c r="AD89" t="s">
        <v>616</v>
      </c>
      <c r="AE89" s="8">
        <v>0.6647599734720947</v>
      </c>
      <c r="AF89" t="s">
        <v>635</v>
      </c>
      <c r="AG89" s="5">
        <f t="shared" si="26"/>
        <v>2.6</v>
      </c>
      <c r="AH89" s="5">
        <f t="shared" si="27"/>
        <v>0.4</v>
      </c>
      <c r="AI89" s="7">
        <v>26</v>
      </c>
      <c r="AJ89" s="7">
        <v>4</v>
      </c>
      <c r="AK89" s="7">
        <v>26</v>
      </c>
      <c r="AL89" s="7">
        <v>4</v>
      </c>
      <c r="AM89" t="s">
        <v>50</v>
      </c>
      <c r="AN89" t="s">
        <v>50</v>
      </c>
      <c r="AO89" s="5">
        <f t="shared" si="28"/>
        <v>20.5</v>
      </c>
      <c r="AP89" s="5">
        <f t="shared" si="29"/>
        <v>125.41</v>
      </c>
      <c r="AQ89" s="5">
        <v>-1977.619999999999</v>
      </c>
      <c r="AR89" s="8" t="s">
        <v>636</v>
      </c>
      <c r="AS89" t="s">
        <v>637</v>
      </c>
    </row>
    <row r="90" spans="1:45" x14ac:dyDescent="0.35">
      <c r="A90" t="s">
        <v>638</v>
      </c>
      <c r="B90">
        <v>3</v>
      </c>
      <c r="C90">
        <v>31</v>
      </c>
      <c r="D90" t="s">
        <v>639</v>
      </c>
      <c r="E90">
        <v>1</v>
      </c>
      <c r="F90" t="s">
        <v>79</v>
      </c>
      <c r="G90" s="6">
        <v>609</v>
      </c>
      <c r="H90" t="s">
        <v>640</v>
      </c>
      <c r="I90" t="s">
        <v>641</v>
      </c>
      <c r="J90" s="5">
        <f t="shared" si="20"/>
        <v>1.8</v>
      </c>
      <c r="K90" s="5">
        <f t="shared" si="21"/>
        <v>7.4</v>
      </c>
      <c r="L90" s="5">
        <f t="shared" si="22"/>
        <v>8</v>
      </c>
      <c r="M90" s="5">
        <v>-0.12</v>
      </c>
      <c r="N90" s="5">
        <f t="shared" si="23"/>
        <v>17.2</v>
      </c>
      <c r="P90"/>
      <c r="Q90" s="7">
        <v>18</v>
      </c>
      <c r="R90" s="7">
        <v>74</v>
      </c>
      <c r="S90" s="7">
        <v>80</v>
      </c>
      <c r="T90" s="7">
        <v>18</v>
      </c>
      <c r="U90" s="7">
        <v>74</v>
      </c>
      <c r="V90" s="7">
        <v>80</v>
      </c>
      <c r="W90" t="s">
        <v>50</v>
      </c>
      <c r="X90" t="s">
        <v>61</v>
      </c>
      <c r="Y90" t="s">
        <v>61</v>
      </c>
      <c r="Z90" t="s">
        <v>52</v>
      </c>
      <c r="AA90" s="5">
        <f t="shared" si="24"/>
        <v>-9.6</v>
      </c>
      <c r="AB90" s="5">
        <f t="shared" si="25"/>
        <v>172</v>
      </c>
      <c r="AC90" t="s">
        <v>53</v>
      </c>
      <c r="AD90" t="s">
        <v>642</v>
      </c>
      <c r="AE90" s="8">
        <v>0.6674669676563616</v>
      </c>
      <c r="AF90" t="s">
        <v>643</v>
      </c>
      <c r="AG90" s="5">
        <f t="shared" si="26"/>
        <v>4.5999999999999996</v>
      </c>
      <c r="AH90" s="5">
        <f t="shared" si="27"/>
        <v>1</v>
      </c>
      <c r="AI90" s="7">
        <v>46</v>
      </c>
      <c r="AJ90" s="7">
        <v>10</v>
      </c>
      <c r="AK90" s="7">
        <v>46</v>
      </c>
      <c r="AL90" s="7">
        <v>10</v>
      </c>
      <c r="AM90" t="s">
        <v>51</v>
      </c>
      <c r="AN90" t="s">
        <v>50</v>
      </c>
      <c r="AO90" s="5">
        <f t="shared" si="28"/>
        <v>37</v>
      </c>
      <c r="AP90" s="5">
        <f t="shared" si="29"/>
        <v>130.34</v>
      </c>
      <c r="AQ90" s="5">
        <v>-1987.2199999999989</v>
      </c>
      <c r="AR90" s="8" t="s">
        <v>644</v>
      </c>
      <c r="AS90" t="s">
        <v>645</v>
      </c>
    </row>
    <row r="91" spans="1:45" x14ac:dyDescent="0.35">
      <c r="A91" t="s">
        <v>646</v>
      </c>
      <c r="B91">
        <v>3</v>
      </c>
      <c r="C91">
        <v>31</v>
      </c>
      <c r="D91" t="s">
        <v>639</v>
      </c>
      <c r="E91">
        <v>2</v>
      </c>
      <c r="F91" t="s">
        <v>47</v>
      </c>
      <c r="G91" s="6">
        <v>1472</v>
      </c>
      <c r="H91" t="s">
        <v>647</v>
      </c>
      <c r="I91" t="s">
        <v>648</v>
      </c>
      <c r="J91" s="5">
        <f t="shared" si="20"/>
        <v>2.2000000000000002</v>
      </c>
      <c r="K91" s="5">
        <f t="shared" si="21"/>
        <v>8</v>
      </c>
      <c r="L91" s="5">
        <f t="shared" si="22"/>
        <v>8.6</v>
      </c>
      <c r="M91" s="5">
        <v>-0.7</v>
      </c>
      <c r="N91" s="5">
        <f t="shared" si="23"/>
        <v>18.8</v>
      </c>
      <c r="P91"/>
      <c r="Q91" s="7">
        <v>22</v>
      </c>
      <c r="R91" s="7">
        <v>80</v>
      </c>
      <c r="S91" s="7">
        <v>86</v>
      </c>
      <c r="T91" s="7">
        <v>22</v>
      </c>
      <c r="U91" s="7">
        <v>80</v>
      </c>
      <c r="V91" s="7">
        <v>86</v>
      </c>
      <c r="W91" t="s">
        <v>50</v>
      </c>
      <c r="X91" t="s">
        <v>61</v>
      </c>
      <c r="Y91" t="s">
        <v>61</v>
      </c>
      <c r="Z91" t="s">
        <v>102</v>
      </c>
      <c r="AA91" s="5">
        <f t="shared" si="24"/>
        <v>-60.2</v>
      </c>
      <c r="AB91" s="5">
        <f t="shared" si="25"/>
        <v>188</v>
      </c>
      <c r="AC91" t="s">
        <v>53</v>
      </c>
      <c r="AD91" t="s">
        <v>642</v>
      </c>
      <c r="AE91" s="8">
        <v>0.6741021324354658</v>
      </c>
      <c r="AF91" t="s">
        <v>649</v>
      </c>
      <c r="AG91" s="5">
        <f t="shared" si="26"/>
        <v>2.4</v>
      </c>
      <c r="AH91" s="5">
        <f t="shared" si="27"/>
        <v>0.6</v>
      </c>
      <c r="AI91" s="7">
        <v>24</v>
      </c>
      <c r="AJ91" s="7">
        <v>6</v>
      </c>
      <c r="AK91" s="7">
        <v>24</v>
      </c>
      <c r="AL91" s="7">
        <v>6</v>
      </c>
      <c r="AM91" t="s">
        <v>50</v>
      </c>
      <c r="AN91" t="s">
        <v>50</v>
      </c>
      <c r="AO91" s="5">
        <f t="shared" si="28"/>
        <v>19.5</v>
      </c>
      <c r="AP91" s="5">
        <f t="shared" si="29"/>
        <v>123.17</v>
      </c>
      <c r="AQ91" s="5">
        <v>-2047.4199999999989</v>
      </c>
      <c r="AR91" s="8" t="s">
        <v>650</v>
      </c>
      <c r="AS91" t="s">
        <v>651</v>
      </c>
    </row>
    <row r="92" spans="1:45" x14ac:dyDescent="0.35">
      <c r="A92" t="s">
        <v>652</v>
      </c>
      <c r="B92">
        <v>3</v>
      </c>
      <c r="C92">
        <v>31</v>
      </c>
      <c r="D92" t="s">
        <v>639</v>
      </c>
      <c r="E92">
        <v>3</v>
      </c>
      <c r="F92" t="s">
        <v>79</v>
      </c>
      <c r="G92" s="6">
        <v>1556</v>
      </c>
      <c r="H92" t="s">
        <v>653</v>
      </c>
      <c r="I92" t="s">
        <v>654</v>
      </c>
      <c r="J92" s="5">
        <f t="shared" si="20"/>
        <v>1.6</v>
      </c>
      <c r="K92" s="5">
        <f t="shared" si="21"/>
        <v>7.8</v>
      </c>
      <c r="L92" s="5">
        <f t="shared" si="22"/>
        <v>8.4</v>
      </c>
      <c r="M92" s="5">
        <v>-0.16</v>
      </c>
      <c r="N92" s="5">
        <f t="shared" si="23"/>
        <v>17.8</v>
      </c>
      <c r="P92"/>
      <c r="Q92" s="7">
        <v>16</v>
      </c>
      <c r="R92" s="7">
        <v>78</v>
      </c>
      <c r="S92" s="7">
        <v>84</v>
      </c>
      <c r="T92" s="7">
        <v>16</v>
      </c>
      <c r="U92" s="7">
        <v>78</v>
      </c>
      <c r="V92" s="7">
        <v>84</v>
      </c>
      <c r="W92" t="s">
        <v>50</v>
      </c>
      <c r="X92" t="s">
        <v>61</v>
      </c>
      <c r="Y92" t="s">
        <v>61</v>
      </c>
      <c r="Z92" t="s">
        <v>52</v>
      </c>
      <c r="AA92" s="5">
        <f t="shared" si="24"/>
        <v>-13.44</v>
      </c>
      <c r="AB92" s="5">
        <f t="shared" si="25"/>
        <v>178</v>
      </c>
      <c r="AC92" t="s">
        <v>53</v>
      </c>
      <c r="AD92" t="s">
        <v>642</v>
      </c>
      <c r="AE92" s="8">
        <v>0.68375675951433523</v>
      </c>
      <c r="AF92" t="s">
        <v>655</v>
      </c>
      <c r="AG92" s="5">
        <f t="shared" si="26"/>
        <v>4.2</v>
      </c>
      <c r="AH92" s="5">
        <f t="shared" si="27"/>
        <v>1</v>
      </c>
      <c r="AI92" s="7">
        <v>42</v>
      </c>
      <c r="AJ92" s="7">
        <v>10</v>
      </c>
      <c r="AK92" s="7">
        <v>42</v>
      </c>
      <c r="AL92" s="7">
        <v>10</v>
      </c>
      <c r="AM92" t="s">
        <v>51</v>
      </c>
      <c r="AN92" t="s">
        <v>50</v>
      </c>
      <c r="AO92" s="5">
        <f t="shared" si="28"/>
        <v>34</v>
      </c>
      <c r="AP92" s="5">
        <f t="shared" si="29"/>
        <v>131.36000000000001</v>
      </c>
      <c r="AQ92" s="5">
        <v>-2060.8599999999992</v>
      </c>
      <c r="AR92" s="8" t="s">
        <v>656</v>
      </c>
      <c r="AS92" t="s">
        <v>657</v>
      </c>
    </row>
    <row r="93" spans="1:45" x14ac:dyDescent="0.35">
      <c r="A93" t="s">
        <v>658</v>
      </c>
      <c r="B93">
        <v>3</v>
      </c>
      <c r="C93">
        <v>32</v>
      </c>
      <c r="D93" t="s">
        <v>659</v>
      </c>
      <c r="E93">
        <v>1</v>
      </c>
      <c r="F93" t="s">
        <v>79</v>
      </c>
      <c r="G93" s="6">
        <v>938</v>
      </c>
      <c r="H93" t="s">
        <v>660</v>
      </c>
      <c r="I93" t="s">
        <v>661</v>
      </c>
      <c r="J93" s="5">
        <f t="shared" si="20"/>
        <v>1.6</v>
      </c>
      <c r="K93" s="5">
        <f t="shared" si="21"/>
        <v>7.2</v>
      </c>
      <c r="L93" s="5">
        <f t="shared" si="22"/>
        <v>7.6</v>
      </c>
      <c r="M93" s="5">
        <v>-0.06</v>
      </c>
      <c r="N93" s="5">
        <f t="shared" si="23"/>
        <v>16.399999999999999</v>
      </c>
      <c r="P93"/>
      <c r="Q93" s="7">
        <v>16</v>
      </c>
      <c r="R93" s="7">
        <v>72</v>
      </c>
      <c r="S93" s="7">
        <v>76</v>
      </c>
      <c r="T93" s="7">
        <v>16</v>
      </c>
      <c r="U93" s="7">
        <v>72</v>
      </c>
      <c r="V93" s="7">
        <v>76</v>
      </c>
      <c r="W93" t="s">
        <v>50</v>
      </c>
      <c r="X93" t="s">
        <v>61</v>
      </c>
      <c r="Y93" t="s">
        <v>61</v>
      </c>
      <c r="Z93" t="s">
        <v>52</v>
      </c>
      <c r="AA93" s="5">
        <f t="shared" si="24"/>
        <v>-4.5599999999999996</v>
      </c>
      <c r="AB93" s="5">
        <f t="shared" si="25"/>
        <v>164</v>
      </c>
      <c r="AC93" t="s">
        <v>53</v>
      </c>
      <c r="AD93" t="s">
        <v>662</v>
      </c>
      <c r="AE93" s="8">
        <v>0.69170875420875422</v>
      </c>
      <c r="AF93" t="s">
        <v>663</v>
      </c>
      <c r="AG93" s="5">
        <f t="shared" si="26"/>
        <v>6.8</v>
      </c>
      <c r="AH93" s="5">
        <f t="shared" si="27"/>
        <v>1.2</v>
      </c>
      <c r="AI93" s="7">
        <v>68</v>
      </c>
      <c r="AJ93" s="7">
        <v>12</v>
      </c>
      <c r="AK93" s="7">
        <v>68</v>
      </c>
      <c r="AL93" s="7">
        <v>12</v>
      </c>
      <c r="AM93" t="s">
        <v>61</v>
      </c>
      <c r="AN93" t="s">
        <v>50</v>
      </c>
      <c r="AO93" s="5">
        <f t="shared" si="28"/>
        <v>54</v>
      </c>
      <c r="AP93" s="5">
        <f t="shared" si="29"/>
        <v>141.07</v>
      </c>
      <c r="AQ93" s="5">
        <v>-2065.4199999999992</v>
      </c>
      <c r="AR93" s="8" t="s">
        <v>664</v>
      </c>
      <c r="AS93" t="s">
        <v>665</v>
      </c>
    </row>
    <row r="94" spans="1:45" x14ac:dyDescent="0.35">
      <c r="A94" t="s">
        <v>666</v>
      </c>
      <c r="B94">
        <v>3</v>
      </c>
      <c r="C94">
        <v>32</v>
      </c>
      <c r="D94" t="s">
        <v>659</v>
      </c>
      <c r="E94">
        <v>2</v>
      </c>
      <c r="F94" t="s">
        <v>47</v>
      </c>
      <c r="G94" s="6">
        <v>868</v>
      </c>
      <c r="H94" t="s">
        <v>667</v>
      </c>
      <c r="I94" t="s">
        <v>668</v>
      </c>
      <c r="J94" s="5">
        <f t="shared" si="20"/>
        <v>2</v>
      </c>
      <c r="K94" s="5">
        <f t="shared" si="21"/>
        <v>7.4</v>
      </c>
      <c r="L94" s="5">
        <f t="shared" si="22"/>
        <v>8</v>
      </c>
      <c r="M94" s="5">
        <v>-0.04</v>
      </c>
      <c r="N94" s="5">
        <f t="shared" si="23"/>
        <v>17.399999999999999</v>
      </c>
      <c r="P94"/>
      <c r="Q94" s="7">
        <v>20</v>
      </c>
      <c r="R94" s="7">
        <v>74</v>
      </c>
      <c r="S94" s="7">
        <v>80</v>
      </c>
      <c r="T94" s="7">
        <v>20</v>
      </c>
      <c r="U94" s="7">
        <v>74</v>
      </c>
      <c r="V94" s="7">
        <v>80</v>
      </c>
      <c r="W94" t="s">
        <v>50</v>
      </c>
      <c r="X94" t="s">
        <v>61</v>
      </c>
      <c r="Y94" t="s">
        <v>61</v>
      </c>
      <c r="Z94" t="s">
        <v>52</v>
      </c>
      <c r="AA94" s="5">
        <f t="shared" si="24"/>
        <v>-3.2</v>
      </c>
      <c r="AB94" s="5">
        <f t="shared" si="25"/>
        <v>174</v>
      </c>
      <c r="AC94" t="s">
        <v>53</v>
      </c>
      <c r="AD94" t="s">
        <v>662</v>
      </c>
      <c r="AE94" s="8">
        <v>0.69746709519436789</v>
      </c>
      <c r="AF94" t="s">
        <v>669</v>
      </c>
      <c r="AG94" s="5">
        <f t="shared" si="26"/>
        <v>6.2</v>
      </c>
      <c r="AH94" s="5">
        <f t="shared" si="27"/>
        <v>1.4</v>
      </c>
      <c r="AI94" s="7">
        <v>62</v>
      </c>
      <c r="AJ94" s="7">
        <v>14</v>
      </c>
      <c r="AK94" s="7">
        <v>62</v>
      </c>
      <c r="AL94" s="7">
        <v>14</v>
      </c>
      <c r="AM94" t="s">
        <v>61</v>
      </c>
      <c r="AN94" t="s">
        <v>50</v>
      </c>
      <c r="AO94" s="5">
        <f t="shared" si="28"/>
        <v>50</v>
      </c>
      <c r="AP94" s="5">
        <f t="shared" si="29"/>
        <v>144.30000000000001</v>
      </c>
      <c r="AQ94" s="5">
        <v>-2068.619999999999</v>
      </c>
      <c r="AR94" s="8" t="s">
        <v>670</v>
      </c>
      <c r="AS94" t="s">
        <v>671</v>
      </c>
    </row>
    <row r="95" spans="1:45" x14ac:dyDescent="0.35">
      <c r="A95" t="s">
        <v>672</v>
      </c>
      <c r="B95">
        <v>3</v>
      </c>
      <c r="C95">
        <v>32</v>
      </c>
      <c r="D95" t="s">
        <v>659</v>
      </c>
      <c r="E95">
        <v>3</v>
      </c>
      <c r="F95" t="s">
        <v>47</v>
      </c>
      <c r="G95" s="6">
        <v>1150</v>
      </c>
      <c r="H95" t="s">
        <v>673</v>
      </c>
      <c r="I95" t="s">
        <v>674</v>
      </c>
      <c r="J95" s="5">
        <f t="shared" si="20"/>
        <v>1.8</v>
      </c>
      <c r="K95" s="5">
        <f t="shared" si="21"/>
        <v>7.6</v>
      </c>
      <c r="L95" s="5">
        <f t="shared" si="22"/>
        <v>8.1999999999999993</v>
      </c>
      <c r="M95" s="5">
        <v>-0.1</v>
      </c>
      <c r="N95" s="5">
        <f t="shared" si="23"/>
        <v>17.600000000000001</v>
      </c>
      <c r="P95"/>
      <c r="Q95" s="7">
        <v>18</v>
      </c>
      <c r="R95" s="7">
        <v>76</v>
      </c>
      <c r="S95" s="7">
        <v>82</v>
      </c>
      <c r="T95" s="7">
        <v>18</v>
      </c>
      <c r="U95" s="7">
        <v>76</v>
      </c>
      <c r="V95" s="7">
        <v>82</v>
      </c>
      <c r="W95" t="s">
        <v>50</v>
      </c>
      <c r="X95" t="s">
        <v>61</v>
      </c>
      <c r="Y95" t="s">
        <v>61</v>
      </c>
      <c r="Z95" t="s">
        <v>52</v>
      </c>
      <c r="AA95" s="5">
        <f t="shared" si="24"/>
        <v>-8.1999999999999993</v>
      </c>
      <c r="AB95" s="5">
        <f t="shared" si="25"/>
        <v>176</v>
      </c>
      <c r="AC95" t="s">
        <v>53</v>
      </c>
      <c r="AD95" t="s">
        <v>662</v>
      </c>
      <c r="AE95" s="8">
        <v>0.70390138761350884</v>
      </c>
      <c r="AF95" t="s">
        <v>675</v>
      </c>
      <c r="AG95" s="5">
        <f t="shared" si="26"/>
        <v>6.4</v>
      </c>
      <c r="AH95" s="5">
        <f t="shared" si="27"/>
        <v>1.2</v>
      </c>
      <c r="AI95" s="7">
        <v>64</v>
      </c>
      <c r="AJ95" s="7">
        <v>12</v>
      </c>
      <c r="AK95" s="7">
        <v>64</v>
      </c>
      <c r="AL95" s="7">
        <v>12</v>
      </c>
      <c r="AM95" t="s">
        <v>61</v>
      </c>
      <c r="AN95" t="s">
        <v>50</v>
      </c>
      <c r="AO95" s="5">
        <f t="shared" si="28"/>
        <v>51</v>
      </c>
      <c r="AP95" s="5">
        <f t="shared" si="29"/>
        <v>146.68</v>
      </c>
      <c r="AQ95" s="5">
        <v>-2076.8199999999988</v>
      </c>
      <c r="AR95" s="8" t="s">
        <v>676</v>
      </c>
      <c r="AS95" t="s">
        <v>677</v>
      </c>
    </row>
    <row r="96" spans="1:45" x14ac:dyDescent="0.35">
      <c r="A96" t="s">
        <v>678</v>
      </c>
      <c r="B96">
        <v>3</v>
      </c>
      <c r="C96">
        <v>33</v>
      </c>
      <c r="D96" t="s">
        <v>679</v>
      </c>
      <c r="E96">
        <v>1</v>
      </c>
      <c r="F96" t="s">
        <v>47</v>
      </c>
      <c r="G96" s="6">
        <v>1230</v>
      </c>
      <c r="H96" t="s">
        <v>680</v>
      </c>
      <c r="I96" t="s">
        <v>681</v>
      </c>
      <c r="J96" s="5">
        <f t="shared" si="20"/>
        <v>1.4</v>
      </c>
      <c r="K96" s="5">
        <f t="shared" si="21"/>
        <v>7</v>
      </c>
      <c r="L96" s="5">
        <f t="shared" si="22"/>
        <v>7.8</v>
      </c>
      <c r="M96" s="5">
        <v>-0.08</v>
      </c>
      <c r="N96" s="5">
        <f t="shared" si="23"/>
        <v>16.2</v>
      </c>
      <c r="P96"/>
      <c r="Q96" s="7">
        <v>14</v>
      </c>
      <c r="R96" s="7">
        <v>70</v>
      </c>
      <c r="S96" s="7">
        <v>78</v>
      </c>
      <c r="T96" s="7">
        <v>14</v>
      </c>
      <c r="U96" s="7">
        <v>70</v>
      </c>
      <c r="V96" s="7">
        <v>78</v>
      </c>
      <c r="W96" t="s">
        <v>50</v>
      </c>
      <c r="X96" t="s">
        <v>61</v>
      </c>
      <c r="Y96" t="s">
        <v>61</v>
      </c>
      <c r="Z96" t="s">
        <v>52</v>
      </c>
      <c r="AA96" s="5">
        <f t="shared" si="24"/>
        <v>-6.24</v>
      </c>
      <c r="AB96" s="5">
        <f t="shared" si="25"/>
        <v>162</v>
      </c>
      <c r="AC96" t="s">
        <v>53</v>
      </c>
      <c r="AD96" t="s">
        <v>682</v>
      </c>
      <c r="AE96" s="8">
        <v>0.71148989898989901</v>
      </c>
      <c r="AF96" t="s">
        <v>683</v>
      </c>
      <c r="AG96" s="5">
        <f t="shared" si="26"/>
        <v>6.6</v>
      </c>
      <c r="AH96" s="5">
        <f t="shared" si="27"/>
        <v>1.2</v>
      </c>
      <c r="AI96" s="7">
        <v>66</v>
      </c>
      <c r="AJ96" s="7">
        <v>12</v>
      </c>
      <c r="AK96" s="7">
        <v>66</v>
      </c>
      <c r="AL96" s="7">
        <v>12</v>
      </c>
      <c r="AM96" t="s">
        <v>61</v>
      </c>
      <c r="AN96" t="s">
        <v>50</v>
      </c>
      <c r="AO96" s="5">
        <f t="shared" si="28"/>
        <v>52.5</v>
      </c>
      <c r="AP96" s="5">
        <f t="shared" si="29"/>
        <v>138.24</v>
      </c>
      <c r="AQ96" s="5">
        <v>-2083.059999999999</v>
      </c>
      <c r="AR96" s="8" t="s">
        <v>684</v>
      </c>
      <c r="AS96" t="s">
        <v>685</v>
      </c>
    </row>
    <row r="97" spans="1:45" x14ac:dyDescent="0.35">
      <c r="A97" t="s">
        <v>686</v>
      </c>
      <c r="B97">
        <v>3</v>
      </c>
      <c r="C97">
        <v>33</v>
      </c>
      <c r="D97" t="s">
        <v>679</v>
      </c>
      <c r="E97">
        <v>2</v>
      </c>
      <c r="F97" t="s">
        <v>79</v>
      </c>
      <c r="G97" s="6">
        <v>1386</v>
      </c>
      <c r="H97" t="s">
        <v>687</v>
      </c>
      <c r="I97" t="s">
        <v>688</v>
      </c>
      <c r="J97" s="5">
        <f t="shared" si="20"/>
        <v>1.8</v>
      </c>
      <c r="K97" s="5">
        <f t="shared" si="21"/>
        <v>7.4</v>
      </c>
      <c r="L97" s="5">
        <f t="shared" si="22"/>
        <v>8.1999999999999993</v>
      </c>
      <c r="M97" s="5">
        <v>-0.1</v>
      </c>
      <c r="N97" s="5">
        <f t="shared" si="23"/>
        <v>17.399999999999999</v>
      </c>
      <c r="P97"/>
      <c r="Q97" s="7">
        <v>18</v>
      </c>
      <c r="R97" s="7">
        <v>74</v>
      </c>
      <c r="S97" s="7">
        <v>82</v>
      </c>
      <c r="T97" s="7">
        <v>18</v>
      </c>
      <c r="U97" s="7">
        <v>74</v>
      </c>
      <c r="V97" s="7">
        <v>82</v>
      </c>
      <c r="W97" t="s">
        <v>50</v>
      </c>
      <c r="X97" t="s">
        <v>61</v>
      </c>
      <c r="Y97" t="s">
        <v>61</v>
      </c>
      <c r="Z97" t="s">
        <v>52</v>
      </c>
      <c r="AA97" s="5">
        <f t="shared" si="24"/>
        <v>-8.1999999999999993</v>
      </c>
      <c r="AB97" s="5">
        <f t="shared" si="25"/>
        <v>174</v>
      </c>
      <c r="AC97" t="s">
        <v>53</v>
      </c>
      <c r="AD97" t="s">
        <v>682</v>
      </c>
      <c r="AE97" s="8">
        <v>0.71983088460361189</v>
      </c>
      <c r="AF97" t="s">
        <v>689</v>
      </c>
      <c r="AG97" s="5">
        <f t="shared" si="26"/>
        <v>7</v>
      </c>
      <c r="AH97" s="5">
        <f t="shared" si="27"/>
        <v>1.4</v>
      </c>
      <c r="AI97" s="7">
        <v>70</v>
      </c>
      <c r="AJ97" s="7">
        <v>14</v>
      </c>
      <c r="AK97" s="7">
        <v>70</v>
      </c>
      <c r="AL97" s="7">
        <v>14</v>
      </c>
      <c r="AM97" t="s">
        <v>61</v>
      </c>
      <c r="AN97" t="s">
        <v>50</v>
      </c>
      <c r="AO97" s="5">
        <f t="shared" si="28"/>
        <v>56</v>
      </c>
      <c r="AP97" s="5">
        <f t="shared" si="29"/>
        <v>150.13</v>
      </c>
      <c r="AQ97" s="5">
        <v>-2091.2599999999979</v>
      </c>
      <c r="AR97" s="8" t="s">
        <v>690</v>
      </c>
      <c r="AS97" t="s">
        <v>691</v>
      </c>
    </row>
    <row r="98" spans="1:45" x14ac:dyDescent="0.35">
      <c r="A98" t="s">
        <v>692</v>
      </c>
      <c r="B98">
        <v>3</v>
      </c>
      <c r="C98">
        <v>33</v>
      </c>
      <c r="D98" t="s">
        <v>679</v>
      </c>
      <c r="E98">
        <v>3</v>
      </c>
      <c r="F98" t="s">
        <v>79</v>
      </c>
      <c r="G98" s="6">
        <v>841</v>
      </c>
      <c r="H98" t="s">
        <v>693</v>
      </c>
      <c r="I98" t="s">
        <v>694</v>
      </c>
      <c r="J98" s="5">
        <f t="shared" ref="J98:J129" si="30">ROUND(T98/10,2)</f>
        <v>1.6</v>
      </c>
      <c r="K98" s="5">
        <f t="shared" ref="K98:K129" si="31">ROUND(U98/10,2)</f>
        <v>7.8</v>
      </c>
      <c r="L98" s="5">
        <f t="shared" ref="L98:L129" si="32">ROUND(V98/10,2)</f>
        <v>8.4</v>
      </c>
      <c r="M98" s="5">
        <v>-0.18</v>
      </c>
      <c r="N98" s="5">
        <f t="shared" ref="N98:N129" si="33">ROUND(J98+K98+L98,2)</f>
        <v>17.8</v>
      </c>
      <c r="P98"/>
      <c r="Q98" s="7">
        <v>16</v>
      </c>
      <c r="R98" s="7">
        <v>78</v>
      </c>
      <c r="S98" s="7">
        <v>84</v>
      </c>
      <c r="T98" s="7">
        <v>16</v>
      </c>
      <c r="U98" s="7">
        <v>78</v>
      </c>
      <c r="V98" s="7">
        <v>84</v>
      </c>
      <c r="W98" t="s">
        <v>50</v>
      </c>
      <c r="X98" t="s">
        <v>61</v>
      </c>
      <c r="Y98" t="s">
        <v>61</v>
      </c>
      <c r="Z98" t="s">
        <v>52</v>
      </c>
      <c r="AA98" s="5">
        <f t="shared" ref="AA98:AA129" si="34">ROUND(V98*M98,2)</f>
        <v>-15.12</v>
      </c>
      <c r="AB98" s="5">
        <f t="shared" ref="AB98:AB129" si="35">T98+U98+V98</f>
        <v>178</v>
      </c>
      <c r="AC98" t="s">
        <v>53</v>
      </c>
      <c r="AD98" t="s">
        <v>682</v>
      </c>
      <c r="AE98" s="8">
        <v>0.72693156310580553</v>
      </c>
      <c r="AF98" t="s">
        <v>695</v>
      </c>
      <c r="AG98" s="5">
        <f t="shared" ref="AG98:AG129" si="36">ROUND(AK98/10,2)</f>
        <v>6.8</v>
      </c>
      <c r="AH98" s="5">
        <f t="shared" ref="AH98:AH129" si="37">ROUND(AL98/10,2)</f>
        <v>1.2</v>
      </c>
      <c r="AI98" s="7">
        <v>68</v>
      </c>
      <c r="AJ98" s="7">
        <v>12</v>
      </c>
      <c r="AK98" s="7">
        <v>68</v>
      </c>
      <c r="AL98" s="7">
        <v>12</v>
      </c>
      <c r="AM98" t="s">
        <v>61</v>
      </c>
      <c r="AN98" t="s">
        <v>50</v>
      </c>
      <c r="AO98" s="5">
        <f t="shared" ref="AO98:AO129" si="38">ROUND(0.75*AK98+0.25*AL98,2)</f>
        <v>54</v>
      </c>
      <c r="AP98" s="5">
        <f t="shared" ref="AP98:AP129" si="39">ROUND(0.55*AB98+0.45*AO98+0.3*(AB98*AO98/100),2)</f>
        <v>151.04</v>
      </c>
      <c r="AQ98" s="5">
        <v>-2106.3799999999978</v>
      </c>
      <c r="AR98" s="8" t="s">
        <v>696</v>
      </c>
      <c r="AS98" t="s">
        <v>697</v>
      </c>
    </row>
    <row r="99" spans="1:45" x14ac:dyDescent="0.35">
      <c r="A99" t="s">
        <v>698</v>
      </c>
      <c r="B99">
        <v>3</v>
      </c>
      <c r="C99">
        <v>34</v>
      </c>
      <c r="D99" t="s">
        <v>699</v>
      </c>
      <c r="E99">
        <v>1</v>
      </c>
      <c r="F99" t="s">
        <v>47</v>
      </c>
      <c r="G99" s="6">
        <v>749</v>
      </c>
      <c r="H99" t="s">
        <v>700</v>
      </c>
      <c r="I99" t="s">
        <v>701</v>
      </c>
      <c r="J99" s="5">
        <f t="shared" si="30"/>
        <v>1.8</v>
      </c>
      <c r="K99" s="5">
        <f t="shared" si="31"/>
        <v>8.1999999999999993</v>
      </c>
      <c r="L99" s="5">
        <f t="shared" si="32"/>
        <v>9</v>
      </c>
      <c r="M99" s="5">
        <v>-0.82</v>
      </c>
      <c r="N99" s="5">
        <f t="shared" si="33"/>
        <v>19</v>
      </c>
      <c r="P99"/>
      <c r="Q99" s="7">
        <v>18</v>
      </c>
      <c r="R99" s="7">
        <v>82</v>
      </c>
      <c r="S99" s="7">
        <v>90</v>
      </c>
      <c r="T99" s="7">
        <v>18</v>
      </c>
      <c r="U99" s="7">
        <v>82</v>
      </c>
      <c r="V99" s="7">
        <v>90</v>
      </c>
      <c r="W99" t="s">
        <v>50</v>
      </c>
      <c r="X99" t="s">
        <v>61</v>
      </c>
      <c r="Y99" t="s">
        <v>523</v>
      </c>
      <c r="Z99" t="s">
        <v>102</v>
      </c>
      <c r="AA99" s="5">
        <f t="shared" si="34"/>
        <v>-73.8</v>
      </c>
      <c r="AB99" s="5">
        <f t="shared" si="35"/>
        <v>190</v>
      </c>
      <c r="AC99" t="s">
        <v>53</v>
      </c>
      <c r="AD99" t="s">
        <v>702</v>
      </c>
      <c r="AE99" s="8">
        <v>0.73200119885725945</v>
      </c>
      <c r="AF99" t="s">
        <v>703</v>
      </c>
      <c r="AG99" s="5">
        <f t="shared" si="36"/>
        <v>1.6</v>
      </c>
      <c r="AH99" s="5">
        <f t="shared" si="37"/>
        <v>0.2</v>
      </c>
      <c r="AI99" s="7">
        <v>16</v>
      </c>
      <c r="AJ99" s="7">
        <v>2</v>
      </c>
      <c r="AK99" s="7">
        <v>16</v>
      </c>
      <c r="AL99" s="7">
        <v>2</v>
      </c>
      <c r="AM99" t="s">
        <v>50</v>
      </c>
      <c r="AN99" t="s">
        <v>50</v>
      </c>
      <c r="AO99" s="5">
        <f t="shared" si="38"/>
        <v>12.5</v>
      </c>
      <c r="AP99" s="5">
        <f t="shared" si="39"/>
        <v>117.25</v>
      </c>
      <c r="AQ99" s="5">
        <v>-2180.179999999998</v>
      </c>
      <c r="AR99" s="8" t="s">
        <v>704</v>
      </c>
      <c r="AS99" t="s">
        <v>705</v>
      </c>
    </row>
    <row r="100" spans="1:45" x14ac:dyDescent="0.35">
      <c r="A100" t="s">
        <v>706</v>
      </c>
      <c r="B100">
        <v>3</v>
      </c>
      <c r="C100">
        <v>34</v>
      </c>
      <c r="D100" t="s">
        <v>699</v>
      </c>
      <c r="E100">
        <v>2</v>
      </c>
      <c r="F100" t="s">
        <v>47</v>
      </c>
      <c r="G100" s="6">
        <v>1573</v>
      </c>
      <c r="H100" t="s">
        <v>707</v>
      </c>
      <c r="I100" t="s">
        <v>708</v>
      </c>
      <c r="J100" s="5">
        <f t="shared" si="30"/>
        <v>2</v>
      </c>
      <c r="K100" s="5">
        <f t="shared" si="31"/>
        <v>8.8000000000000007</v>
      </c>
      <c r="L100" s="5">
        <f t="shared" si="32"/>
        <v>9.1999999999999993</v>
      </c>
      <c r="M100" s="5">
        <v>-0.9</v>
      </c>
      <c r="N100" s="5">
        <f t="shared" si="33"/>
        <v>20</v>
      </c>
      <c r="P100"/>
      <c r="Q100" s="7">
        <v>20</v>
      </c>
      <c r="R100" s="7">
        <v>88</v>
      </c>
      <c r="S100" s="7">
        <v>92</v>
      </c>
      <c r="T100" s="7">
        <v>20</v>
      </c>
      <c r="U100" s="7">
        <v>88</v>
      </c>
      <c r="V100" s="7">
        <v>92</v>
      </c>
      <c r="W100" t="s">
        <v>50</v>
      </c>
      <c r="X100" t="s">
        <v>61</v>
      </c>
      <c r="Y100" t="s">
        <v>523</v>
      </c>
      <c r="Z100" t="s">
        <v>102</v>
      </c>
      <c r="AA100" s="5">
        <f t="shared" si="34"/>
        <v>-82.8</v>
      </c>
      <c r="AB100" s="5">
        <f t="shared" si="35"/>
        <v>200</v>
      </c>
      <c r="AC100" t="s">
        <v>53</v>
      </c>
      <c r="AD100" t="s">
        <v>702</v>
      </c>
      <c r="AE100" s="8">
        <v>0.73940478012447708</v>
      </c>
      <c r="AF100" t="s">
        <v>709</v>
      </c>
      <c r="AG100" s="5">
        <f t="shared" si="36"/>
        <v>1.8</v>
      </c>
      <c r="AH100" s="5">
        <f t="shared" si="37"/>
        <v>0.2</v>
      </c>
      <c r="AI100" s="7">
        <v>18</v>
      </c>
      <c r="AJ100" s="7">
        <v>2</v>
      </c>
      <c r="AK100" s="7">
        <v>18</v>
      </c>
      <c r="AL100" s="7">
        <v>2</v>
      </c>
      <c r="AM100" t="s">
        <v>50</v>
      </c>
      <c r="AN100" t="s">
        <v>50</v>
      </c>
      <c r="AO100" s="5">
        <f t="shared" si="38"/>
        <v>14</v>
      </c>
      <c r="AP100" s="5">
        <f t="shared" si="39"/>
        <v>124.7</v>
      </c>
      <c r="AQ100" s="5">
        <v>-2262.9799999999991</v>
      </c>
      <c r="AR100" s="8" t="s">
        <v>710</v>
      </c>
      <c r="AS100" t="s">
        <v>711</v>
      </c>
    </row>
    <row r="101" spans="1:45" x14ac:dyDescent="0.35">
      <c r="A101" t="s">
        <v>712</v>
      </c>
      <c r="B101">
        <v>3</v>
      </c>
      <c r="C101">
        <v>34</v>
      </c>
      <c r="D101" t="s">
        <v>699</v>
      </c>
      <c r="E101">
        <v>3</v>
      </c>
      <c r="F101" t="s">
        <v>47</v>
      </c>
      <c r="G101" s="6">
        <v>561</v>
      </c>
      <c r="H101" t="s">
        <v>713</v>
      </c>
      <c r="I101" t="s">
        <v>714</v>
      </c>
      <c r="J101" s="5">
        <f t="shared" si="30"/>
        <v>1.6</v>
      </c>
      <c r="K101" s="5">
        <f t="shared" si="31"/>
        <v>9</v>
      </c>
      <c r="L101" s="5">
        <f t="shared" si="32"/>
        <v>9.4</v>
      </c>
      <c r="M101" s="5">
        <v>-0.94</v>
      </c>
      <c r="N101" s="5">
        <f t="shared" si="33"/>
        <v>20</v>
      </c>
      <c r="P101"/>
      <c r="Q101" s="7">
        <v>16</v>
      </c>
      <c r="R101" s="7">
        <v>90</v>
      </c>
      <c r="S101" s="7">
        <v>94</v>
      </c>
      <c r="T101" s="7">
        <v>16</v>
      </c>
      <c r="U101" s="7">
        <v>90</v>
      </c>
      <c r="V101" s="7">
        <v>94</v>
      </c>
      <c r="W101" t="s">
        <v>50</v>
      </c>
      <c r="X101" t="s">
        <v>523</v>
      </c>
      <c r="Y101" t="s">
        <v>523</v>
      </c>
      <c r="Z101" t="s">
        <v>102</v>
      </c>
      <c r="AA101" s="5">
        <f t="shared" si="34"/>
        <v>-88.36</v>
      </c>
      <c r="AB101" s="5">
        <f t="shared" si="35"/>
        <v>200</v>
      </c>
      <c r="AC101" t="s">
        <v>53</v>
      </c>
      <c r="AD101" t="s">
        <v>702</v>
      </c>
      <c r="AE101" s="8">
        <v>0.7462089327619631</v>
      </c>
      <c r="AF101" t="s">
        <v>715</v>
      </c>
      <c r="AG101" s="5">
        <f t="shared" si="36"/>
        <v>2</v>
      </c>
      <c r="AH101" s="5">
        <f t="shared" si="37"/>
        <v>0.2</v>
      </c>
      <c r="AI101" s="7">
        <v>20</v>
      </c>
      <c r="AJ101" s="7">
        <v>2</v>
      </c>
      <c r="AK101" s="7">
        <v>20</v>
      </c>
      <c r="AL101" s="7">
        <v>2</v>
      </c>
      <c r="AM101" t="s">
        <v>50</v>
      </c>
      <c r="AN101" t="s">
        <v>50</v>
      </c>
      <c r="AO101" s="5">
        <f t="shared" si="38"/>
        <v>15.5</v>
      </c>
      <c r="AP101" s="5">
        <f t="shared" si="39"/>
        <v>126.28</v>
      </c>
      <c r="AQ101" s="5">
        <v>-2351.3399999999988</v>
      </c>
      <c r="AR101" s="8" t="s">
        <v>716</v>
      </c>
      <c r="AS101" t="s">
        <v>717</v>
      </c>
    </row>
    <row r="102" spans="1:45" x14ac:dyDescent="0.35">
      <c r="A102" t="s">
        <v>718</v>
      </c>
      <c r="B102">
        <v>3</v>
      </c>
      <c r="C102">
        <v>35</v>
      </c>
      <c r="D102" t="s">
        <v>719</v>
      </c>
      <c r="E102">
        <v>1</v>
      </c>
      <c r="F102" t="s">
        <v>79</v>
      </c>
      <c r="G102" s="6">
        <v>1149</v>
      </c>
      <c r="H102" t="s">
        <v>720</v>
      </c>
      <c r="I102" t="s">
        <v>721</v>
      </c>
      <c r="J102" s="5">
        <f t="shared" si="30"/>
        <v>2</v>
      </c>
      <c r="K102" s="5">
        <f t="shared" si="31"/>
        <v>8.4</v>
      </c>
      <c r="L102" s="5">
        <f t="shared" si="32"/>
        <v>9</v>
      </c>
      <c r="M102" s="5">
        <v>-0.52</v>
      </c>
      <c r="N102" s="5">
        <f t="shared" si="33"/>
        <v>19.399999999999999</v>
      </c>
      <c r="P102"/>
      <c r="Q102" s="7">
        <v>20</v>
      </c>
      <c r="R102" s="7">
        <v>84</v>
      </c>
      <c r="S102" s="7">
        <v>90</v>
      </c>
      <c r="T102" s="7">
        <v>20</v>
      </c>
      <c r="U102" s="7">
        <v>84</v>
      </c>
      <c r="V102" s="7">
        <v>90</v>
      </c>
      <c r="W102" t="s">
        <v>50</v>
      </c>
      <c r="X102" t="s">
        <v>61</v>
      </c>
      <c r="Y102" t="s">
        <v>523</v>
      </c>
      <c r="Z102" t="s">
        <v>102</v>
      </c>
      <c r="AA102" s="5">
        <f t="shared" si="34"/>
        <v>-46.8</v>
      </c>
      <c r="AB102" s="5">
        <f t="shared" si="35"/>
        <v>194</v>
      </c>
      <c r="AC102" t="s">
        <v>53</v>
      </c>
      <c r="AD102" t="s">
        <v>722</v>
      </c>
      <c r="AE102" s="8">
        <v>0.75166118253239467</v>
      </c>
      <c r="AF102" t="s">
        <v>723</v>
      </c>
      <c r="AG102" s="5">
        <f t="shared" si="36"/>
        <v>4.2</v>
      </c>
      <c r="AH102" s="5">
        <f t="shared" si="37"/>
        <v>0.4</v>
      </c>
      <c r="AI102" s="7">
        <v>42</v>
      </c>
      <c r="AJ102" s="7">
        <v>4</v>
      </c>
      <c r="AK102" s="7">
        <v>42</v>
      </c>
      <c r="AL102" s="7">
        <v>4</v>
      </c>
      <c r="AM102" t="s">
        <v>51</v>
      </c>
      <c r="AN102" t="s">
        <v>50</v>
      </c>
      <c r="AO102" s="5">
        <f t="shared" si="38"/>
        <v>32.5</v>
      </c>
      <c r="AP102" s="5">
        <f t="shared" si="39"/>
        <v>140.24</v>
      </c>
      <c r="AQ102" s="5">
        <v>-2398.139999999999</v>
      </c>
      <c r="AR102" s="8" t="s">
        <v>724</v>
      </c>
      <c r="AS102" t="s">
        <v>725</v>
      </c>
    </row>
    <row r="103" spans="1:45" x14ac:dyDescent="0.35">
      <c r="A103" t="s">
        <v>726</v>
      </c>
      <c r="B103">
        <v>3</v>
      </c>
      <c r="C103">
        <v>35</v>
      </c>
      <c r="D103" t="s">
        <v>719</v>
      </c>
      <c r="E103">
        <v>2</v>
      </c>
      <c r="F103" t="s">
        <v>79</v>
      </c>
      <c r="G103" s="6">
        <v>745</v>
      </c>
      <c r="H103" t="s">
        <v>727</v>
      </c>
      <c r="I103" t="s">
        <v>728</v>
      </c>
      <c r="J103" s="5">
        <f t="shared" si="30"/>
        <v>7</v>
      </c>
      <c r="K103" s="5">
        <f t="shared" si="31"/>
        <v>9</v>
      </c>
      <c r="L103" s="5">
        <f t="shared" si="32"/>
        <v>9.4</v>
      </c>
      <c r="M103" s="5">
        <v>-0.1</v>
      </c>
      <c r="N103" s="5">
        <f t="shared" si="33"/>
        <v>25.4</v>
      </c>
      <c r="P103"/>
      <c r="Q103" s="7">
        <v>70</v>
      </c>
      <c r="R103" s="7">
        <v>90</v>
      </c>
      <c r="S103" s="7">
        <v>94</v>
      </c>
      <c r="T103" s="7">
        <v>70</v>
      </c>
      <c r="U103" s="7">
        <v>90</v>
      </c>
      <c r="V103" s="7">
        <v>94</v>
      </c>
      <c r="W103" t="s">
        <v>61</v>
      </c>
      <c r="X103" t="s">
        <v>523</v>
      </c>
      <c r="Y103" t="s">
        <v>523</v>
      </c>
      <c r="Z103" t="s">
        <v>52</v>
      </c>
      <c r="AA103" s="5">
        <f t="shared" si="34"/>
        <v>-9.4</v>
      </c>
      <c r="AB103" s="5">
        <f t="shared" si="35"/>
        <v>254</v>
      </c>
      <c r="AC103" t="s">
        <v>53</v>
      </c>
      <c r="AD103" t="s">
        <v>722</v>
      </c>
      <c r="AE103" s="8">
        <v>0.75770010713192526</v>
      </c>
      <c r="AF103" t="s">
        <v>729</v>
      </c>
      <c r="AG103" s="5">
        <f t="shared" si="36"/>
        <v>5</v>
      </c>
      <c r="AH103" s="5">
        <f t="shared" si="37"/>
        <v>0.4</v>
      </c>
      <c r="AI103" s="7">
        <v>50</v>
      </c>
      <c r="AJ103" s="7">
        <v>4</v>
      </c>
      <c r="AK103" s="7">
        <v>50</v>
      </c>
      <c r="AL103" s="7">
        <v>4</v>
      </c>
      <c r="AM103" t="s">
        <v>51</v>
      </c>
      <c r="AN103" t="s">
        <v>50</v>
      </c>
      <c r="AO103" s="5">
        <f t="shared" si="38"/>
        <v>38.5</v>
      </c>
      <c r="AP103" s="5">
        <f t="shared" si="39"/>
        <v>186.36</v>
      </c>
      <c r="AQ103" s="5">
        <v>-2407.5399999999991</v>
      </c>
      <c r="AR103" s="8" t="s">
        <v>730</v>
      </c>
      <c r="AS103" t="s">
        <v>731</v>
      </c>
    </row>
    <row r="104" spans="1:45" x14ac:dyDescent="0.35">
      <c r="A104" t="s">
        <v>732</v>
      </c>
      <c r="B104">
        <v>3</v>
      </c>
      <c r="C104">
        <v>35</v>
      </c>
      <c r="D104" t="s">
        <v>719</v>
      </c>
      <c r="E104">
        <v>3</v>
      </c>
      <c r="F104" t="s">
        <v>79</v>
      </c>
      <c r="G104" s="6">
        <v>1772</v>
      </c>
      <c r="H104" t="s">
        <v>733</v>
      </c>
      <c r="I104" t="s">
        <v>734</v>
      </c>
      <c r="J104" s="5">
        <f t="shared" si="30"/>
        <v>8.4</v>
      </c>
      <c r="K104" s="5">
        <f t="shared" si="31"/>
        <v>9.6</v>
      </c>
      <c r="L104" s="5">
        <f t="shared" si="32"/>
        <v>9.8000000000000007</v>
      </c>
      <c r="M104" s="5">
        <v>-0.86</v>
      </c>
      <c r="N104" s="5">
        <f t="shared" si="33"/>
        <v>27.8</v>
      </c>
      <c r="P104"/>
      <c r="Q104" s="7">
        <v>84</v>
      </c>
      <c r="R104" s="7">
        <v>96</v>
      </c>
      <c r="S104" s="7">
        <v>98</v>
      </c>
      <c r="T104" s="7">
        <v>84</v>
      </c>
      <c r="U104" s="7">
        <v>96</v>
      </c>
      <c r="V104" s="7">
        <v>98</v>
      </c>
      <c r="W104" t="s">
        <v>61</v>
      </c>
      <c r="X104" t="s">
        <v>523</v>
      </c>
      <c r="Y104" t="s">
        <v>523</v>
      </c>
      <c r="Z104" t="s">
        <v>102</v>
      </c>
      <c r="AA104" s="5">
        <f t="shared" si="34"/>
        <v>-84.28</v>
      </c>
      <c r="AB104" s="5">
        <f t="shared" si="35"/>
        <v>278</v>
      </c>
      <c r="AC104" t="s">
        <v>53</v>
      </c>
      <c r="AD104" t="s">
        <v>722</v>
      </c>
      <c r="AE104" s="8">
        <v>0.76572543617998168</v>
      </c>
      <c r="AF104" t="s">
        <v>735</v>
      </c>
      <c r="AG104" s="5">
        <f t="shared" si="36"/>
        <v>3.8</v>
      </c>
      <c r="AH104" s="5">
        <f t="shared" si="37"/>
        <v>0.2</v>
      </c>
      <c r="AI104" s="7">
        <v>38</v>
      </c>
      <c r="AJ104" s="7">
        <v>2</v>
      </c>
      <c r="AK104" s="7">
        <v>38</v>
      </c>
      <c r="AL104" s="7">
        <v>2</v>
      </c>
      <c r="AM104" t="s">
        <v>51</v>
      </c>
      <c r="AN104" t="s">
        <v>50</v>
      </c>
      <c r="AO104" s="5">
        <f t="shared" si="38"/>
        <v>29</v>
      </c>
      <c r="AP104" s="5">
        <f t="shared" si="39"/>
        <v>190.14</v>
      </c>
      <c r="AQ104" s="5">
        <v>-2491.8199999999988</v>
      </c>
      <c r="AR104" s="8" t="s">
        <v>736</v>
      </c>
      <c r="AS104" t="s">
        <v>737</v>
      </c>
    </row>
    <row r="105" spans="1:45" x14ac:dyDescent="0.35">
      <c r="A105" t="s">
        <v>738</v>
      </c>
      <c r="B105">
        <v>3</v>
      </c>
      <c r="C105">
        <v>36</v>
      </c>
      <c r="D105" t="s">
        <v>739</v>
      </c>
      <c r="E105">
        <v>1</v>
      </c>
      <c r="F105" t="s">
        <v>47</v>
      </c>
      <c r="G105" s="6">
        <v>1081</v>
      </c>
      <c r="H105" t="s">
        <v>740</v>
      </c>
      <c r="I105" t="s">
        <v>741</v>
      </c>
      <c r="J105" s="5">
        <f t="shared" si="30"/>
        <v>1</v>
      </c>
      <c r="K105" s="5">
        <f t="shared" si="31"/>
        <v>8.6</v>
      </c>
      <c r="L105" s="5">
        <f t="shared" si="32"/>
        <v>9</v>
      </c>
      <c r="M105" s="5">
        <v>-0.72</v>
      </c>
      <c r="N105" s="5">
        <f t="shared" si="33"/>
        <v>18.600000000000001</v>
      </c>
      <c r="P105"/>
      <c r="Q105" s="7">
        <v>10</v>
      </c>
      <c r="R105" s="7">
        <v>86</v>
      </c>
      <c r="S105" s="7">
        <v>90</v>
      </c>
      <c r="T105" s="7">
        <v>10</v>
      </c>
      <c r="U105" s="7">
        <v>86</v>
      </c>
      <c r="V105" s="7">
        <v>90</v>
      </c>
      <c r="W105" t="s">
        <v>50</v>
      </c>
      <c r="X105" t="s">
        <v>61</v>
      </c>
      <c r="Y105" t="s">
        <v>523</v>
      </c>
      <c r="Z105" t="s">
        <v>102</v>
      </c>
      <c r="AA105" s="5">
        <f t="shared" si="34"/>
        <v>-64.8</v>
      </c>
      <c r="AB105" s="5">
        <f t="shared" si="35"/>
        <v>186</v>
      </c>
      <c r="AC105" t="s">
        <v>53</v>
      </c>
      <c r="AD105" t="s">
        <v>742</v>
      </c>
      <c r="AE105" s="8">
        <v>0.7748220844811754</v>
      </c>
      <c r="AF105" t="s">
        <v>743</v>
      </c>
      <c r="AG105" s="5">
        <f t="shared" si="36"/>
        <v>3.4</v>
      </c>
      <c r="AH105" s="5">
        <f t="shared" si="37"/>
        <v>0.4</v>
      </c>
      <c r="AI105" s="7">
        <v>34</v>
      </c>
      <c r="AJ105" s="7">
        <v>4</v>
      </c>
      <c r="AK105" s="7">
        <v>34</v>
      </c>
      <c r="AL105" s="7">
        <v>4</v>
      </c>
      <c r="AM105" t="s">
        <v>51</v>
      </c>
      <c r="AN105" t="s">
        <v>50</v>
      </c>
      <c r="AO105" s="5">
        <f t="shared" si="38"/>
        <v>26.5</v>
      </c>
      <c r="AP105" s="5">
        <f t="shared" si="39"/>
        <v>129.01</v>
      </c>
      <c r="AQ105" s="5">
        <v>-2556.619999999999</v>
      </c>
      <c r="AR105" s="8" t="s">
        <v>744</v>
      </c>
      <c r="AS105" t="s">
        <v>745</v>
      </c>
    </row>
    <row r="106" spans="1:45" x14ac:dyDescent="0.35">
      <c r="A106" t="s">
        <v>746</v>
      </c>
      <c r="B106">
        <v>3</v>
      </c>
      <c r="C106">
        <v>36</v>
      </c>
      <c r="D106" t="s">
        <v>739</v>
      </c>
      <c r="E106">
        <v>2</v>
      </c>
      <c r="F106" t="s">
        <v>47</v>
      </c>
      <c r="G106" s="6">
        <v>1400</v>
      </c>
      <c r="H106" t="s">
        <v>747</v>
      </c>
      <c r="I106" t="s">
        <v>748</v>
      </c>
      <c r="J106" s="5">
        <f t="shared" si="30"/>
        <v>1.4</v>
      </c>
      <c r="K106" s="5">
        <f t="shared" si="31"/>
        <v>8.4</v>
      </c>
      <c r="L106" s="5">
        <f t="shared" si="32"/>
        <v>8.8000000000000007</v>
      </c>
      <c r="M106" s="5">
        <v>-0.44</v>
      </c>
      <c r="N106" s="5">
        <f t="shared" si="33"/>
        <v>18.600000000000001</v>
      </c>
      <c r="P106"/>
      <c r="Q106" s="7">
        <v>14</v>
      </c>
      <c r="R106" s="7">
        <v>84</v>
      </c>
      <c r="S106" s="7">
        <v>88</v>
      </c>
      <c r="T106" s="7">
        <v>14</v>
      </c>
      <c r="U106" s="7">
        <v>84</v>
      </c>
      <c r="V106" s="7">
        <v>88</v>
      </c>
      <c r="W106" t="s">
        <v>50</v>
      </c>
      <c r="X106" t="s">
        <v>61</v>
      </c>
      <c r="Y106" t="s">
        <v>61</v>
      </c>
      <c r="Z106" t="s">
        <v>102</v>
      </c>
      <c r="AA106" s="5">
        <f t="shared" si="34"/>
        <v>-38.72</v>
      </c>
      <c r="AB106" s="5">
        <f t="shared" si="35"/>
        <v>186</v>
      </c>
      <c r="AC106" t="s">
        <v>53</v>
      </c>
      <c r="AD106" t="s">
        <v>742</v>
      </c>
      <c r="AE106" s="8">
        <v>0.78273262932353838</v>
      </c>
      <c r="AF106" t="s">
        <v>749</v>
      </c>
      <c r="AG106" s="5">
        <f t="shared" si="36"/>
        <v>4.5999999999999996</v>
      </c>
      <c r="AH106" s="5">
        <f t="shared" si="37"/>
        <v>0.6</v>
      </c>
      <c r="AI106" s="7">
        <v>46</v>
      </c>
      <c r="AJ106" s="7">
        <v>6</v>
      </c>
      <c r="AK106" s="7">
        <v>46</v>
      </c>
      <c r="AL106" s="7">
        <v>6</v>
      </c>
      <c r="AM106" t="s">
        <v>51</v>
      </c>
      <c r="AN106" t="s">
        <v>50</v>
      </c>
      <c r="AO106" s="5">
        <f t="shared" si="38"/>
        <v>36</v>
      </c>
      <c r="AP106" s="5">
        <f t="shared" si="39"/>
        <v>138.59</v>
      </c>
      <c r="AQ106" s="5">
        <v>-2595.3399999999988</v>
      </c>
      <c r="AR106" s="8" t="s">
        <v>750</v>
      </c>
      <c r="AS106" t="s">
        <v>751</v>
      </c>
    </row>
    <row r="107" spans="1:45" x14ac:dyDescent="0.35">
      <c r="A107" t="s">
        <v>752</v>
      </c>
      <c r="B107">
        <v>3</v>
      </c>
      <c r="C107">
        <v>36</v>
      </c>
      <c r="D107" t="s">
        <v>739</v>
      </c>
      <c r="E107">
        <v>3</v>
      </c>
      <c r="F107" t="s">
        <v>47</v>
      </c>
      <c r="G107" s="6">
        <v>1393</v>
      </c>
      <c r="H107" t="s">
        <v>753</v>
      </c>
      <c r="I107" t="s">
        <v>754</v>
      </c>
      <c r="J107" s="5">
        <f t="shared" si="30"/>
        <v>1.2</v>
      </c>
      <c r="K107" s="5">
        <f t="shared" si="31"/>
        <v>8.8000000000000007</v>
      </c>
      <c r="L107" s="5">
        <f t="shared" si="32"/>
        <v>9.1999999999999993</v>
      </c>
      <c r="M107" s="5">
        <v>-0.22</v>
      </c>
      <c r="N107" s="5">
        <f t="shared" si="33"/>
        <v>19.2</v>
      </c>
      <c r="P107"/>
      <c r="Q107" s="7">
        <v>12</v>
      </c>
      <c r="R107" s="7">
        <v>88</v>
      </c>
      <c r="S107" s="7">
        <v>92</v>
      </c>
      <c r="T107" s="7">
        <v>12</v>
      </c>
      <c r="U107" s="7">
        <v>88</v>
      </c>
      <c r="V107" s="7">
        <v>92</v>
      </c>
      <c r="W107" t="s">
        <v>50</v>
      </c>
      <c r="X107" t="s">
        <v>61</v>
      </c>
      <c r="Y107" t="s">
        <v>523</v>
      </c>
      <c r="Z107" t="s">
        <v>52</v>
      </c>
      <c r="AA107" s="5">
        <f t="shared" si="34"/>
        <v>-20.239999999999998</v>
      </c>
      <c r="AB107" s="5">
        <f t="shared" si="35"/>
        <v>192</v>
      </c>
      <c r="AC107" t="s">
        <v>53</v>
      </c>
      <c r="AD107" t="s">
        <v>742</v>
      </c>
      <c r="AE107" s="8">
        <v>0.79163797061524332</v>
      </c>
      <c r="AF107" t="s">
        <v>755</v>
      </c>
      <c r="AG107" s="5">
        <f t="shared" si="36"/>
        <v>5.2</v>
      </c>
      <c r="AH107" s="5">
        <f t="shared" si="37"/>
        <v>0.6</v>
      </c>
      <c r="AI107" s="7">
        <v>52</v>
      </c>
      <c r="AJ107" s="7">
        <v>6</v>
      </c>
      <c r="AK107" s="7">
        <v>52</v>
      </c>
      <c r="AL107" s="7">
        <v>6</v>
      </c>
      <c r="AM107" t="s">
        <v>51</v>
      </c>
      <c r="AN107" t="s">
        <v>50</v>
      </c>
      <c r="AO107" s="5">
        <f t="shared" si="38"/>
        <v>40.5</v>
      </c>
      <c r="AP107" s="5">
        <f t="shared" si="39"/>
        <v>147.15</v>
      </c>
      <c r="AQ107" s="5">
        <v>-2615.579999999999</v>
      </c>
      <c r="AR107" s="8" t="s">
        <v>756</v>
      </c>
      <c r="AS107" t="s">
        <v>757</v>
      </c>
    </row>
    <row r="108" spans="1:45" x14ac:dyDescent="0.35">
      <c r="A108" t="s">
        <v>758</v>
      </c>
      <c r="B108">
        <v>3</v>
      </c>
      <c r="C108">
        <v>37</v>
      </c>
      <c r="D108" t="s">
        <v>759</v>
      </c>
      <c r="E108">
        <v>1</v>
      </c>
      <c r="F108" t="s">
        <v>79</v>
      </c>
      <c r="G108" s="6">
        <v>775</v>
      </c>
      <c r="H108" t="s">
        <v>760</v>
      </c>
      <c r="I108" t="s">
        <v>761</v>
      </c>
      <c r="J108" s="5">
        <f t="shared" si="30"/>
        <v>1.2</v>
      </c>
      <c r="K108" s="5">
        <f t="shared" si="31"/>
        <v>9</v>
      </c>
      <c r="L108" s="5">
        <f t="shared" si="32"/>
        <v>9.4</v>
      </c>
      <c r="M108" s="5">
        <v>-0.57999999999999996</v>
      </c>
      <c r="N108" s="5">
        <f t="shared" si="33"/>
        <v>19.600000000000001</v>
      </c>
      <c r="P108"/>
      <c r="Q108" s="7">
        <v>12</v>
      </c>
      <c r="R108" s="7">
        <v>90</v>
      </c>
      <c r="S108" s="7">
        <v>94</v>
      </c>
      <c r="T108" s="7">
        <v>12</v>
      </c>
      <c r="U108" s="7">
        <v>90</v>
      </c>
      <c r="V108" s="7">
        <v>94</v>
      </c>
      <c r="W108" t="s">
        <v>50</v>
      </c>
      <c r="X108" t="s">
        <v>523</v>
      </c>
      <c r="Y108" t="s">
        <v>523</v>
      </c>
      <c r="Z108" t="s">
        <v>102</v>
      </c>
      <c r="AA108" s="5">
        <f t="shared" si="34"/>
        <v>-54.52</v>
      </c>
      <c r="AB108" s="5">
        <f t="shared" si="35"/>
        <v>196</v>
      </c>
      <c r="AC108" t="s">
        <v>53</v>
      </c>
      <c r="AD108" t="s">
        <v>762</v>
      </c>
      <c r="AE108" s="8">
        <v>0.79855053055810632</v>
      </c>
      <c r="AF108" t="s">
        <v>763</v>
      </c>
      <c r="AG108" s="5">
        <f t="shared" si="36"/>
        <v>3.8</v>
      </c>
      <c r="AH108" s="5">
        <f t="shared" si="37"/>
        <v>0.4</v>
      </c>
      <c r="AI108" s="7">
        <v>38</v>
      </c>
      <c r="AJ108" s="7">
        <v>4</v>
      </c>
      <c r="AK108" s="7">
        <v>38</v>
      </c>
      <c r="AL108" s="7">
        <v>4</v>
      </c>
      <c r="AM108" t="s">
        <v>51</v>
      </c>
      <c r="AN108" t="s">
        <v>50</v>
      </c>
      <c r="AO108" s="5">
        <f t="shared" si="38"/>
        <v>29.5</v>
      </c>
      <c r="AP108" s="5">
        <f t="shared" si="39"/>
        <v>138.41999999999999</v>
      </c>
      <c r="AQ108" s="5">
        <v>-2670.099999999999</v>
      </c>
      <c r="AR108" s="8" t="s">
        <v>764</v>
      </c>
      <c r="AS108" t="s">
        <v>765</v>
      </c>
    </row>
    <row r="109" spans="1:45" x14ac:dyDescent="0.35">
      <c r="A109" t="s">
        <v>766</v>
      </c>
      <c r="B109">
        <v>3</v>
      </c>
      <c r="C109">
        <v>37</v>
      </c>
      <c r="D109" t="s">
        <v>759</v>
      </c>
      <c r="E109">
        <v>2</v>
      </c>
      <c r="F109" t="s">
        <v>79</v>
      </c>
      <c r="G109" s="6">
        <v>803</v>
      </c>
      <c r="H109" t="s">
        <v>767</v>
      </c>
      <c r="I109" t="s">
        <v>768</v>
      </c>
      <c r="J109" s="5">
        <f t="shared" si="30"/>
        <v>1.6</v>
      </c>
      <c r="K109" s="5">
        <f t="shared" si="31"/>
        <v>8.6</v>
      </c>
      <c r="L109" s="5">
        <f t="shared" si="32"/>
        <v>9.1999999999999993</v>
      </c>
      <c r="M109" s="5">
        <v>-0.34</v>
      </c>
      <c r="N109" s="5">
        <f t="shared" si="33"/>
        <v>19.399999999999999</v>
      </c>
      <c r="P109"/>
      <c r="Q109" s="7">
        <v>16</v>
      </c>
      <c r="R109" s="7">
        <v>86</v>
      </c>
      <c r="S109" s="7">
        <v>92</v>
      </c>
      <c r="T109" s="7">
        <v>16</v>
      </c>
      <c r="U109" s="7">
        <v>86</v>
      </c>
      <c r="V109" s="7">
        <v>92</v>
      </c>
      <c r="W109" t="s">
        <v>50</v>
      </c>
      <c r="X109" t="s">
        <v>61</v>
      </c>
      <c r="Y109" t="s">
        <v>523</v>
      </c>
      <c r="Z109" t="s">
        <v>102</v>
      </c>
      <c r="AA109" s="5">
        <f t="shared" si="34"/>
        <v>-31.28</v>
      </c>
      <c r="AB109" s="5">
        <f t="shared" si="35"/>
        <v>194</v>
      </c>
      <c r="AC109" t="s">
        <v>53</v>
      </c>
      <c r="AD109" t="s">
        <v>762</v>
      </c>
      <c r="AE109" s="8">
        <v>0.80358190490766246</v>
      </c>
      <c r="AF109" t="s">
        <v>769</v>
      </c>
      <c r="AG109" s="5">
        <f t="shared" si="36"/>
        <v>4.4000000000000004</v>
      </c>
      <c r="AH109" s="5">
        <f t="shared" si="37"/>
        <v>0.4</v>
      </c>
      <c r="AI109" s="7">
        <v>44</v>
      </c>
      <c r="AJ109" s="7">
        <v>4</v>
      </c>
      <c r="AK109" s="7">
        <v>44</v>
      </c>
      <c r="AL109" s="7">
        <v>4</v>
      </c>
      <c r="AM109" t="s">
        <v>51</v>
      </c>
      <c r="AN109" t="s">
        <v>50</v>
      </c>
      <c r="AO109" s="5">
        <f t="shared" si="38"/>
        <v>34</v>
      </c>
      <c r="AP109" s="5">
        <f t="shared" si="39"/>
        <v>141.79</v>
      </c>
      <c r="AQ109" s="5">
        <v>-2701.3799999999992</v>
      </c>
      <c r="AR109" s="8" t="s">
        <v>770</v>
      </c>
      <c r="AS109" t="s">
        <v>771</v>
      </c>
    </row>
    <row r="110" spans="1:45" x14ac:dyDescent="0.35">
      <c r="A110" t="s">
        <v>772</v>
      </c>
      <c r="B110">
        <v>3</v>
      </c>
      <c r="C110">
        <v>37</v>
      </c>
      <c r="D110" t="s">
        <v>759</v>
      </c>
      <c r="E110">
        <v>3</v>
      </c>
      <c r="F110" t="s">
        <v>47</v>
      </c>
      <c r="G110" s="6">
        <v>1280</v>
      </c>
      <c r="H110" t="s">
        <v>773</v>
      </c>
      <c r="I110" t="s">
        <v>774</v>
      </c>
      <c r="J110" s="5">
        <f t="shared" si="30"/>
        <v>1.8</v>
      </c>
      <c r="K110" s="5">
        <f t="shared" si="31"/>
        <v>8.8000000000000007</v>
      </c>
      <c r="L110" s="5">
        <f t="shared" si="32"/>
        <v>9.4</v>
      </c>
      <c r="M110" s="5">
        <v>-0.1</v>
      </c>
      <c r="N110" s="5">
        <f t="shared" si="33"/>
        <v>20</v>
      </c>
      <c r="P110"/>
      <c r="Q110" s="7">
        <v>18</v>
      </c>
      <c r="R110" s="7">
        <v>88</v>
      </c>
      <c r="S110" s="7">
        <v>94</v>
      </c>
      <c r="T110" s="7">
        <v>18</v>
      </c>
      <c r="U110" s="7">
        <v>88</v>
      </c>
      <c r="V110" s="7">
        <v>94</v>
      </c>
      <c r="W110" t="s">
        <v>50</v>
      </c>
      <c r="X110" t="s">
        <v>61</v>
      </c>
      <c r="Y110" t="s">
        <v>523</v>
      </c>
      <c r="Z110" t="s">
        <v>52</v>
      </c>
      <c r="AA110" s="5">
        <f t="shared" si="34"/>
        <v>-9.4</v>
      </c>
      <c r="AB110" s="5">
        <f t="shared" si="35"/>
        <v>200</v>
      </c>
      <c r="AC110" t="s">
        <v>53</v>
      </c>
      <c r="AD110" t="s">
        <v>762</v>
      </c>
      <c r="AE110" s="8">
        <v>0.8102234465870829</v>
      </c>
      <c r="AF110" t="s">
        <v>775</v>
      </c>
      <c r="AG110" s="5">
        <f t="shared" si="36"/>
        <v>5.2</v>
      </c>
      <c r="AH110" s="5">
        <f t="shared" si="37"/>
        <v>0.4</v>
      </c>
      <c r="AI110" s="7">
        <v>52</v>
      </c>
      <c r="AJ110" s="7">
        <v>4</v>
      </c>
      <c r="AK110" s="7">
        <v>52</v>
      </c>
      <c r="AL110" s="7">
        <v>4</v>
      </c>
      <c r="AM110" t="s">
        <v>51</v>
      </c>
      <c r="AN110" t="s">
        <v>50</v>
      </c>
      <c r="AO110" s="5">
        <f t="shared" si="38"/>
        <v>40</v>
      </c>
      <c r="AP110" s="5">
        <f t="shared" si="39"/>
        <v>152</v>
      </c>
      <c r="AQ110" s="5">
        <v>-2710.7799999999988</v>
      </c>
      <c r="AR110" s="8" t="s">
        <v>776</v>
      </c>
      <c r="AS110" t="s">
        <v>777</v>
      </c>
    </row>
    <row r="111" spans="1:45" x14ac:dyDescent="0.35">
      <c r="A111" t="s">
        <v>778</v>
      </c>
      <c r="B111">
        <v>3</v>
      </c>
      <c r="C111">
        <v>37</v>
      </c>
      <c r="D111" t="s">
        <v>759</v>
      </c>
      <c r="E111">
        <v>4</v>
      </c>
      <c r="F111" t="s">
        <v>79</v>
      </c>
      <c r="G111" s="6">
        <v>1118</v>
      </c>
      <c r="H111" t="s">
        <v>779</v>
      </c>
      <c r="I111" t="s">
        <v>780</v>
      </c>
      <c r="J111" s="5">
        <f t="shared" si="30"/>
        <v>2.2000000000000002</v>
      </c>
      <c r="K111" s="5">
        <f t="shared" si="31"/>
        <v>8.4</v>
      </c>
      <c r="L111" s="5">
        <f t="shared" si="32"/>
        <v>9</v>
      </c>
      <c r="M111" s="5">
        <v>0.04</v>
      </c>
      <c r="N111" s="5">
        <f t="shared" si="33"/>
        <v>19.600000000000001</v>
      </c>
      <c r="P111"/>
      <c r="Q111" s="7">
        <v>22</v>
      </c>
      <c r="R111" s="7">
        <v>84</v>
      </c>
      <c r="S111" s="7">
        <v>90</v>
      </c>
      <c r="T111" s="7">
        <v>22</v>
      </c>
      <c r="U111" s="7">
        <v>84</v>
      </c>
      <c r="V111" s="7">
        <v>90</v>
      </c>
      <c r="W111" t="s">
        <v>50</v>
      </c>
      <c r="X111" t="s">
        <v>61</v>
      </c>
      <c r="Y111" t="s">
        <v>523</v>
      </c>
      <c r="Z111" t="s">
        <v>52</v>
      </c>
      <c r="AA111" s="5">
        <f t="shared" si="34"/>
        <v>3.6</v>
      </c>
      <c r="AB111" s="5">
        <f t="shared" si="35"/>
        <v>196</v>
      </c>
      <c r="AC111" t="s">
        <v>53</v>
      </c>
      <c r="AD111" t="s">
        <v>762</v>
      </c>
      <c r="AE111" s="8">
        <v>0.81786935006631978</v>
      </c>
      <c r="AF111" t="s">
        <v>781</v>
      </c>
      <c r="AG111" s="5">
        <f t="shared" si="36"/>
        <v>5.6</v>
      </c>
      <c r="AH111" s="5">
        <f t="shared" si="37"/>
        <v>0.6</v>
      </c>
      <c r="AI111" s="7">
        <v>56</v>
      </c>
      <c r="AJ111" s="7">
        <v>6</v>
      </c>
      <c r="AK111" s="7">
        <v>56</v>
      </c>
      <c r="AL111" s="7">
        <v>6</v>
      </c>
      <c r="AM111" t="s">
        <v>51</v>
      </c>
      <c r="AN111" t="s">
        <v>50</v>
      </c>
      <c r="AO111" s="5">
        <f t="shared" si="38"/>
        <v>43.5</v>
      </c>
      <c r="AP111" s="5">
        <f t="shared" si="39"/>
        <v>152.94999999999999</v>
      </c>
      <c r="AQ111" s="5">
        <v>-2707.1799999999989</v>
      </c>
      <c r="AR111" s="8" t="s">
        <v>782</v>
      </c>
      <c r="AS111" t="s">
        <v>783</v>
      </c>
    </row>
    <row r="112" spans="1:45" x14ac:dyDescent="0.35">
      <c r="A112" t="s">
        <v>784</v>
      </c>
      <c r="B112">
        <v>4</v>
      </c>
      <c r="C112">
        <v>38</v>
      </c>
      <c r="D112" t="s">
        <v>785</v>
      </c>
      <c r="E112">
        <v>1</v>
      </c>
      <c r="F112" t="s">
        <v>47</v>
      </c>
      <c r="G112" s="6">
        <v>1315</v>
      </c>
      <c r="H112" t="s">
        <v>786</v>
      </c>
      <c r="I112" t="s">
        <v>787</v>
      </c>
      <c r="J112" s="5">
        <f t="shared" si="30"/>
        <v>1</v>
      </c>
      <c r="K112" s="5">
        <f t="shared" si="31"/>
        <v>9.1999999999999993</v>
      </c>
      <c r="L112" s="5">
        <f t="shared" si="32"/>
        <v>9.4</v>
      </c>
      <c r="M112" s="5">
        <v>-0.18</v>
      </c>
      <c r="N112" s="5">
        <f t="shared" si="33"/>
        <v>19.600000000000001</v>
      </c>
      <c r="P112"/>
      <c r="Q112" s="7">
        <v>10</v>
      </c>
      <c r="R112" s="7">
        <v>92</v>
      </c>
      <c r="S112" s="7">
        <v>94</v>
      </c>
      <c r="T112" s="7">
        <v>10</v>
      </c>
      <c r="U112" s="7">
        <v>92</v>
      </c>
      <c r="V112" s="7">
        <v>94</v>
      </c>
      <c r="W112" t="s">
        <v>50</v>
      </c>
      <c r="X112" t="s">
        <v>523</v>
      </c>
      <c r="Y112" t="s">
        <v>523</v>
      </c>
      <c r="Z112" t="s">
        <v>52</v>
      </c>
      <c r="AA112" s="5">
        <f t="shared" si="34"/>
        <v>-16.920000000000002</v>
      </c>
      <c r="AB112" s="5">
        <f t="shared" si="35"/>
        <v>196</v>
      </c>
      <c r="AC112" t="s">
        <v>53</v>
      </c>
      <c r="AD112" t="s">
        <v>788</v>
      </c>
      <c r="AE112" s="8">
        <v>0.82562684930109176</v>
      </c>
      <c r="AF112" t="s">
        <v>789</v>
      </c>
      <c r="AG112" s="5">
        <f t="shared" si="36"/>
        <v>5.8</v>
      </c>
      <c r="AH112" s="5">
        <f t="shared" si="37"/>
        <v>0.4</v>
      </c>
      <c r="AI112" s="7">
        <v>58</v>
      </c>
      <c r="AJ112" s="7">
        <v>4</v>
      </c>
      <c r="AK112" s="7">
        <v>58</v>
      </c>
      <c r="AL112" s="7">
        <v>4</v>
      </c>
      <c r="AM112" t="s">
        <v>51</v>
      </c>
      <c r="AN112" t="s">
        <v>50</v>
      </c>
      <c r="AO112" s="5">
        <f t="shared" si="38"/>
        <v>44.5</v>
      </c>
      <c r="AP112" s="5">
        <f t="shared" si="39"/>
        <v>153.99</v>
      </c>
      <c r="AQ112" s="5">
        <v>-2724.099999999999</v>
      </c>
      <c r="AR112" s="8" t="s">
        <v>790</v>
      </c>
      <c r="AS112" t="s">
        <v>791</v>
      </c>
    </row>
    <row r="113" spans="1:45" x14ac:dyDescent="0.35">
      <c r="A113" t="s">
        <v>792</v>
      </c>
      <c r="B113">
        <v>4</v>
      </c>
      <c r="C113">
        <v>38</v>
      </c>
      <c r="D113" t="s">
        <v>785</v>
      </c>
      <c r="E113">
        <v>2</v>
      </c>
      <c r="F113" t="s">
        <v>79</v>
      </c>
      <c r="G113" s="6">
        <v>1125</v>
      </c>
      <c r="H113" t="s">
        <v>793</v>
      </c>
      <c r="I113" t="s">
        <v>794</v>
      </c>
      <c r="J113" s="5">
        <f t="shared" si="30"/>
        <v>1.2</v>
      </c>
      <c r="K113" s="5">
        <f t="shared" si="31"/>
        <v>9.6</v>
      </c>
      <c r="L113" s="5">
        <f t="shared" si="32"/>
        <v>9.6</v>
      </c>
      <c r="M113" s="5">
        <v>0.08</v>
      </c>
      <c r="N113" s="5">
        <f t="shared" si="33"/>
        <v>20.399999999999999</v>
      </c>
      <c r="P113"/>
      <c r="Q113" s="7">
        <v>12</v>
      </c>
      <c r="R113" s="7">
        <v>96</v>
      </c>
      <c r="S113" s="7">
        <v>96</v>
      </c>
      <c r="T113" s="7">
        <v>12</v>
      </c>
      <c r="U113" s="7">
        <v>96</v>
      </c>
      <c r="V113" s="7">
        <v>96</v>
      </c>
      <c r="W113" t="s">
        <v>50</v>
      </c>
      <c r="X113" t="s">
        <v>523</v>
      </c>
      <c r="Y113" t="s">
        <v>523</v>
      </c>
      <c r="Z113" t="s">
        <v>52</v>
      </c>
      <c r="AA113" s="5">
        <f t="shared" si="34"/>
        <v>7.68</v>
      </c>
      <c r="AB113" s="5">
        <f t="shared" si="35"/>
        <v>204</v>
      </c>
      <c r="AC113" t="s">
        <v>53</v>
      </c>
      <c r="AD113" t="s">
        <v>788</v>
      </c>
      <c r="AE113" s="8">
        <v>0.83340666768697069</v>
      </c>
      <c r="AF113" t="s">
        <v>795</v>
      </c>
      <c r="AG113" s="5">
        <f t="shared" si="36"/>
        <v>6.4</v>
      </c>
      <c r="AH113" s="5">
        <f t="shared" si="37"/>
        <v>0.2</v>
      </c>
      <c r="AI113" s="7">
        <v>64</v>
      </c>
      <c r="AJ113" s="7">
        <v>2</v>
      </c>
      <c r="AK113" s="7">
        <v>64</v>
      </c>
      <c r="AL113" s="7">
        <v>2</v>
      </c>
      <c r="AM113" t="s">
        <v>61</v>
      </c>
      <c r="AN113" t="s">
        <v>50</v>
      </c>
      <c r="AO113" s="5">
        <f t="shared" si="38"/>
        <v>48.5</v>
      </c>
      <c r="AP113" s="5">
        <f t="shared" si="39"/>
        <v>163.71</v>
      </c>
      <c r="AQ113" s="5">
        <v>-2716.42</v>
      </c>
      <c r="AR113" s="8" t="s">
        <v>796</v>
      </c>
      <c r="AS113" t="s">
        <v>797</v>
      </c>
    </row>
    <row r="114" spans="1:45" x14ac:dyDescent="0.35">
      <c r="A114" t="s">
        <v>798</v>
      </c>
      <c r="B114">
        <v>4</v>
      </c>
      <c r="C114">
        <v>39</v>
      </c>
      <c r="D114" t="s">
        <v>799</v>
      </c>
      <c r="E114">
        <v>1</v>
      </c>
      <c r="F114" t="s">
        <v>47</v>
      </c>
      <c r="G114" s="6">
        <v>1486</v>
      </c>
      <c r="H114" t="s">
        <v>800</v>
      </c>
      <c r="I114" t="s">
        <v>801</v>
      </c>
      <c r="J114" s="5">
        <f t="shared" si="30"/>
        <v>2.2000000000000002</v>
      </c>
      <c r="K114" s="5">
        <f t="shared" si="31"/>
        <v>8.1999999999999993</v>
      </c>
      <c r="L114" s="5">
        <f t="shared" si="32"/>
        <v>8.8000000000000007</v>
      </c>
      <c r="M114" s="5">
        <v>0.1</v>
      </c>
      <c r="N114" s="5">
        <f t="shared" si="33"/>
        <v>19.2</v>
      </c>
      <c r="P114"/>
      <c r="Q114" s="7">
        <v>22</v>
      </c>
      <c r="R114" s="7">
        <v>82</v>
      </c>
      <c r="S114" s="7">
        <v>88</v>
      </c>
      <c r="T114" s="7">
        <v>22</v>
      </c>
      <c r="U114" s="7">
        <v>82</v>
      </c>
      <c r="V114" s="7">
        <v>88</v>
      </c>
      <c r="W114" t="s">
        <v>50</v>
      </c>
      <c r="X114" t="s">
        <v>61</v>
      </c>
      <c r="Y114" t="s">
        <v>61</v>
      </c>
      <c r="Z114" t="s">
        <v>52</v>
      </c>
      <c r="AA114" s="5">
        <f t="shared" si="34"/>
        <v>8.8000000000000007</v>
      </c>
      <c r="AB114" s="5">
        <f t="shared" si="35"/>
        <v>192</v>
      </c>
      <c r="AC114" t="s">
        <v>53</v>
      </c>
      <c r="AD114" t="s">
        <v>802</v>
      </c>
      <c r="AE114" s="8">
        <v>0.84173171104989286</v>
      </c>
      <c r="AF114" t="s">
        <v>803</v>
      </c>
      <c r="AG114" s="5">
        <f t="shared" si="36"/>
        <v>5.4</v>
      </c>
      <c r="AH114" s="5">
        <f t="shared" si="37"/>
        <v>0.6</v>
      </c>
      <c r="AI114" s="7">
        <v>54</v>
      </c>
      <c r="AJ114" s="7">
        <v>6</v>
      </c>
      <c r="AK114" s="7">
        <v>54</v>
      </c>
      <c r="AL114" s="7">
        <v>6</v>
      </c>
      <c r="AM114" t="s">
        <v>51</v>
      </c>
      <c r="AN114" t="s">
        <v>50</v>
      </c>
      <c r="AO114" s="5">
        <f t="shared" si="38"/>
        <v>42</v>
      </c>
      <c r="AP114" s="5">
        <f t="shared" si="39"/>
        <v>148.69</v>
      </c>
      <c r="AQ114" s="5">
        <v>-2707.619999999999</v>
      </c>
      <c r="AR114" s="8" t="s">
        <v>804</v>
      </c>
      <c r="AS114" t="s">
        <v>805</v>
      </c>
    </row>
    <row r="115" spans="1:45" x14ac:dyDescent="0.35">
      <c r="A115" t="s">
        <v>806</v>
      </c>
      <c r="B115">
        <v>4</v>
      </c>
      <c r="C115">
        <v>39</v>
      </c>
      <c r="D115" t="s">
        <v>799</v>
      </c>
      <c r="E115">
        <v>2</v>
      </c>
      <c r="F115" t="s">
        <v>79</v>
      </c>
      <c r="G115" s="6">
        <v>856</v>
      </c>
      <c r="H115" t="s">
        <v>807</v>
      </c>
      <c r="I115" t="s">
        <v>808</v>
      </c>
      <c r="J115" s="5">
        <f t="shared" si="30"/>
        <v>2.6</v>
      </c>
      <c r="K115" s="5">
        <f t="shared" si="31"/>
        <v>8.4</v>
      </c>
      <c r="L115" s="5">
        <f t="shared" si="32"/>
        <v>9</v>
      </c>
      <c r="M115" s="5">
        <v>0.14000000000000001</v>
      </c>
      <c r="N115" s="5">
        <f t="shared" si="33"/>
        <v>20</v>
      </c>
      <c r="P115"/>
      <c r="Q115" s="7">
        <v>26</v>
      </c>
      <c r="R115" s="7">
        <v>84</v>
      </c>
      <c r="S115" s="7">
        <v>90</v>
      </c>
      <c r="T115" s="7">
        <v>26</v>
      </c>
      <c r="U115" s="7">
        <v>84</v>
      </c>
      <c r="V115" s="7">
        <v>90</v>
      </c>
      <c r="W115" t="s">
        <v>50</v>
      </c>
      <c r="X115" t="s">
        <v>61</v>
      </c>
      <c r="Y115" t="s">
        <v>523</v>
      </c>
      <c r="Z115" t="s">
        <v>52</v>
      </c>
      <c r="AA115" s="5">
        <f t="shared" si="34"/>
        <v>12.6</v>
      </c>
      <c r="AB115" s="5">
        <f t="shared" si="35"/>
        <v>200</v>
      </c>
      <c r="AC115" t="s">
        <v>53</v>
      </c>
      <c r="AD115" t="s">
        <v>802</v>
      </c>
      <c r="AE115" s="8">
        <v>0.84919906132027345</v>
      </c>
      <c r="AF115" t="s">
        <v>809</v>
      </c>
      <c r="AG115" s="5">
        <f t="shared" si="36"/>
        <v>5.8</v>
      </c>
      <c r="AH115" s="5">
        <f t="shared" si="37"/>
        <v>0.6</v>
      </c>
      <c r="AI115" s="7">
        <v>58</v>
      </c>
      <c r="AJ115" s="7">
        <v>6</v>
      </c>
      <c r="AK115" s="7">
        <v>58</v>
      </c>
      <c r="AL115" s="7">
        <v>6</v>
      </c>
      <c r="AM115" t="s">
        <v>51</v>
      </c>
      <c r="AN115" t="s">
        <v>50</v>
      </c>
      <c r="AO115" s="5">
        <f t="shared" si="38"/>
        <v>45</v>
      </c>
      <c r="AP115" s="5">
        <f t="shared" si="39"/>
        <v>157.25</v>
      </c>
      <c r="AQ115" s="5">
        <v>-2695.02</v>
      </c>
      <c r="AR115" s="8" t="s">
        <v>810</v>
      </c>
      <c r="AS115" t="s">
        <v>811</v>
      </c>
    </row>
    <row r="116" spans="1:45" x14ac:dyDescent="0.35">
      <c r="A116" t="s">
        <v>812</v>
      </c>
      <c r="B116">
        <v>4</v>
      </c>
      <c r="C116">
        <v>39</v>
      </c>
      <c r="D116" t="s">
        <v>799</v>
      </c>
      <c r="E116">
        <v>3</v>
      </c>
      <c r="F116" t="s">
        <v>47</v>
      </c>
      <c r="G116" s="6">
        <v>945</v>
      </c>
      <c r="H116" t="s">
        <v>813</v>
      </c>
      <c r="I116" t="s">
        <v>814</v>
      </c>
      <c r="J116" s="5">
        <f t="shared" si="30"/>
        <v>1.8</v>
      </c>
      <c r="K116" s="5">
        <f t="shared" si="31"/>
        <v>8</v>
      </c>
      <c r="L116" s="5">
        <f t="shared" si="32"/>
        <v>8.6</v>
      </c>
      <c r="M116" s="5">
        <v>0.12</v>
      </c>
      <c r="N116" s="5">
        <f t="shared" si="33"/>
        <v>18.399999999999999</v>
      </c>
      <c r="P116"/>
      <c r="Q116" s="7">
        <v>18</v>
      </c>
      <c r="R116" s="7">
        <v>80</v>
      </c>
      <c r="S116" s="7">
        <v>86</v>
      </c>
      <c r="T116" s="7">
        <v>18</v>
      </c>
      <c r="U116" s="7">
        <v>80</v>
      </c>
      <c r="V116" s="7">
        <v>86</v>
      </c>
      <c r="W116" t="s">
        <v>50</v>
      </c>
      <c r="X116" t="s">
        <v>61</v>
      </c>
      <c r="Y116" t="s">
        <v>61</v>
      </c>
      <c r="Z116" t="s">
        <v>52</v>
      </c>
      <c r="AA116" s="5">
        <f t="shared" si="34"/>
        <v>10.32</v>
      </c>
      <c r="AB116" s="5">
        <f t="shared" si="35"/>
        <v>184</v>
      </c>
      <c r="AC116" t="s">
        <v>53</v>
      </c>
      <c r="AD116" t="s">
        <v>802</v>
      </c>
      <c r="AE116" s="8">
        <v>0.85494146005509641</v>
      </c>
      <c r="AF116" t="s">
        <v>815</v>
      </c>
      <c r="AG116" s="5">
        <f t="shared" si="36"/>
        <v>5</v>
      </c>
      <c r="AH116" s="5">
        <f t="shared" si="37"/>
        <v>0.4</v>
      </c>
      <c r="AI116" s="7">
        <v>50</v>
      </c>
      <c r="AJ116" s="7">
        <v>4</v>
      </c>
      <c r="AK116" s="7">
        <v>50</v>
      </c>
      <c r="AL116" s="7">
        <v>4</v>
      </c>
      <c r="AM116" t="s">
        <v>51</v>
      </c>
      <c r="AN116" t="s">
        <v>50</v>
      </c>
      <c r="AO116" s="5">
        <f t="shared" si="38"/>
        <v>38.5</v>
      </c>
      <c r="AP116" s="5">
        <f t="shared" si="39"/>
        <v>139.78</v>
      </c>
      <c r="AQ116" s="5">
        <v>-2684.6999999999989</v>
      </c>
      <c r="AR116" s="8" t="s">
        <v>816</v>
      </c>
      <c r="AS116" t="s">
        <v>817</v>
      </c>
    </row>
    <row r="117" spans="1:45" x14ac:dyDescent="0.35">
      <c r="A117" t="s">
        <v>818</v>
      </c>
      <c r="B117">
        <v>4</v>
      </c>
      <c r="C117">
        <v>40</v>
      </c>
      <c r="D117" t="s">
        <v>819</v>
      </c>
      <c r="E117">
        <v>1</v>
      </c>
      <c r="F117" t="s">
        <v>79</v>
      </c>
      <c r="G117" s="6">
        <v>1032</v>
      </c>
      <c r="H117" t="s">
        <v>820</v>
      </c>
      <c r="I117" t="s">
        <v>821</v>
      </c>
      <c r="J117" s="5">
        <f t="shared" si="30"/>
        <v>1.8</v>
      </c>
      <c r="K117" s="5">
        <f t="shared" si="31"/>
        <v>8.4</v>
      </c>
      <c r="L117" s="5">
        <f t="shared" si="32"/>
        <v>8.8000000000000007</v>
      </c>
      <c r="M117" s="5">
        <v>0.18</v>
      </c>
      <c r="N117" s="5">
        <f t="shared" si="33"/>
        <v>19</v>
      </c>
      <c r="P117"/>
      <c r="Q117" s="7">
        <v>18</v>
      </c>
      <c r="R117" s="7">
        <v>84</v>
      </c>
      <c r="S117" s="7">
        <v>88</v>
      </c>
      <c r="T117" s="7">
        <v>18</v>
      </c>
      <c r="U117" s="7">
        <v>84</v>
      </c>
      <c r="V117" s="7">
        <v>88</v>
      </c>
      <c r="W117" t="s">
        <v>50</v>
      </c>
      <c r="X117" t="s">
        <v>61</v>
      </c>
      <c r="Y117" t="s">
        <v>61</v>
      </c>
      <c r="Z117" t="s">
        <v>52</v>
      </c>
      <c r="AA117" s="5">
        <f t="shared" si="34"/>
        <v>15.84</v>
      </c>
      <c r="AB117" s="5">
        <f t="shared" si="35"/>
        <v>190</v>
      </c>
      <c r="AC117" t="s">
        <v>53</v>
      </c>
      <c r="AD117" t="s">
        <v>822</v>
      </c>
      <c r="AE117" s="8">
        <v>0.86124502601775332</v>
      </c>
      <c r="AF117" t="s">
        <v>823</v>
      </c>
      <c r="AG117" s="5">
        <f t="shared" si="36"/>
        <v>5</v>
      </c>
      <c r="AH117" s="5">
        <f t="shared" si="37"/>
        <v>0.4</v>
      </c>
      <c r="AI117" s="7">
        <v>50</v>
      </c>
      <c r="AJ117" s="7">
        <v>4</v>
      </c>
      <c r="AK117" s="7">
        <v>50</v>
      </c>
      <c r="AL117" s="7">
        <v>4</v>
      </c>
      <c r="AM117" t="s">
        <v>51</v>
      </c>
      <c r="AN117" t="s">
        <v>50</v>
      </c>
      <c r="AO117" s="5">
        <f t="shared" si="38"/>
        <v>38.5</v>
      </c>
      <c r="AP117" s="5">
        <f t="shared" si="39"/>
        <v>143.77000000000001</v>
      </c>
      <c r="AQ117" s="5">
        <v>-2668.8599999999992</v>
      </c>
      <c r="AR117" s="8" t="s">
        <v>824</v>
      </c>
      <c r="AS117" t="s">
        <v>825</v>
      </c>
    </row>
    <row r="118" spans="1:45" x14ac:dyDescent="0.35">
      <c r="A118" t="s">
        <v>826</v>
      </c>
      <c r="B118">
        <v>4</v>
      </c>
      <c r="C118">
        <v>40</v>
      </c>
      <c r="D118" t="s">
        <v>819</v>
      </c>
      <c r="E118">
        <v>2</v>
      </c>
      <c r="F118" t="s">
        <v>47</v>
      </c>
      <c r="G118" s="6">
        <v>1033</v>
      </c>
      <c r="H118" t="s">
        <v>827</v>
      </c>
      <c r="I118" t="s">
        <v>828</v>
      </c>
      <c r="J118" s="5">
        <f t="shared" si="30"/>
        <v>2.4</v>
      </c>
      <c r="K118" s="5">
        <f t="shared" si="31"/>
        <v>8</v>
      </c>
      <c r="L118" s="5">
        <f t="shared" si="32"/>
        <v>8.6</v>
      </c>
      <c r="M118" s="5">
        <v>0.22</v>
      </c>
      <c r="N118" s="5">
        <f t="shared" si="33"/>
        <v>19</v>
      </c>
      <c r="P118"/>
      <c r="Q118" s="7">
        <v>24</v>
      </c>
      <c r="R118" s="7">
        <v>80</v>
      </c>
      <c r="S118" s="7">
        <v>86</v>
      </c>
      <c r="T118" s="7">
        <v>24</v>
      </c>
      <c r="U118" s="7">
        <v>80</v>
      </c>
      <c r="V118" s="7">
        <v>86</v>
      </c>
      <c r="W118" t="s">
        <v>50</v>
      </c>
      <c r="X118" t="s">
        <v>61</v>
      </c>
      <c r="Y118" t="s">
        <v>61</v>
      </c>
      <c r="Z118" t="s">
        <v>52</v>
      </c>
      <c r="AA118" s="5">
        <f t="shared" si="34"/>
        <v>18.920000000000002</v>
      </c>
      <c r="AB118" s="5">
        <f t="shared" si="35"/>
        <v>190</v>
      </c>
      <c r="AC118" t="s">
        <v>53</v>
      </c>
      <c r="AD118" t="s">
        <v>822</v>
      </c>
      <c r="AE118" s="8">
        <v>0.86782917559432715</v>
      </c>
      <c r="AF118" t="s">
        <v>809</v>
      </c>
      <c r="AG118" s="5">
        <f t="shared" si="36"/>
        <v>4.4000000000000004</v>
      </c>
      <c r="AH118" s="5">
        <f t="shared" si="37"/>
        <v>0.4</v>
      </c>
      <c r="AI118" s="7">
        <v>44</v>
      </c>
      <c r="AJ118" s="7">
        <v>4</v>
      </c>
      <c r="AK118" s="7">
        <v>44</v>
      </c>
      <c r="AL118" s="7">
        <v>4</v>
      </c>
      <c r="AM118" t="s">
        <v>51</v>
      </c>
      <c r="AN118" t="s">
        <v>50</v>
      </c>
      <c r="AO118" s="5">
        <f t="shared" si="38"/>
        <v>34</v>
      </c>
      <c r="AP118" s="5">
        <f t="shared" si="39"/>
        <v>139.18</v>
      </c>
      <c r="AQ118" s="5">
        <v>-2649.9399999999991</v>
      </c>
      <c r="AR118" s="8" t="s">
        <v>829</v>
      </c>
      <c r="AS118" t="s">
        <v>830</v>
      </c>
    </row>
    <row r="119" spans="1:45" x14ac:dyDescent="0.35">
      <c r="A119" t="s">
        <v>831</v>
      </c>
      <c r="B119">
        <v>4</v>
      </c>
      <c r="C119">
        <v>40</v>
      </c>
      <c r="D119" t="s">
        <v>819</v>
      </c>
      <c r="E119">
        <v>3</v>
      </c>
      <c r="F119" t="s">
        <v>79</v>
      </c>
      <c r="G119" s="6">
        <v>961</v>
      </c>
      <c r="H119" t="s">
        <v>832</v>
      </c>
      <c r="I119" t="s">
        <v>833</v>
      </c>
      <c r="J119" s="5">
        <f t="shared" si="30"/>
        <v>2.2000000000000002</v>
      </c>
      <c r="K119" s="5">
        <f t="shared" si="31"/>
        <v>8.6</v>
      </c>
      <c r="L119" s="5">
        <f t="shared" si="32"/>
        <v>9</v>
      </c>
      <c r="M119" s="5">
        <v>0.28000000000000003</v>
      </c>
      <c r="N119" s="5">
        <f t="shared" si="33"/>
        <v>19.8</v>
      </c>
      <c r="P119"/>
      <c r="Q119" s="7">
        <v>22</v>
      </c>
      <c r="R119" s="7">
        <v>86</v>
      </c>
      <c r="S119" s="7">
        <v>90</v>
      </c>
      <c r="T119" s="7">
        <v>22</v>
      </c>
      <c r="U119" s="7">
        <v>86</v>
      </c>
      <c r="V119" s="7">
        <v>90</v>
      </c>
      <c r="W119" t="s">
        <v>50</v>
      </c>
      <c r="X119" t="s">
        <v>61</v>
      </c>
      <c r="Y119" t="s">
        <v>523</v>
      </c>
      <c r="Z119" t="s">
        <v>52</v>
      </c>
      <c r="AA119" s="5">
        <f t="shared" si="34"/>
        <v>25.2</v>
      </c>
      <c r="AB119" s="5">
        <f t="shared" si="35"/>
        <v>198</v>
      </c>
      <c r="AC119" t="s">
        <v>53</v>
      </c>
      <c r="AD119" t="s">
        <v>822</v>
      </c>
      <c r="AE119" s="8">
        <v>0.87418694520967244</v>
      </c>
      <c r="AF119" t="s">
        <v>834</v>
      </c>
      <c r="AG119" s="5">
        <f t="shared" si="36"/>
        <v>5.6</v>
      </c>
      <c r="AH119" s="5">
        <f t="shared" si="37"/>
        <v>0.4</v>
      </c>
      <c r="AI119" s="7">
        <v>56</v>
      </c>
      <c r="AJ119" s="7">
        <v>4</v>
      </c>
      <c r="AK119" s="7">
        <v>56</v>
      </c>
      <c r="AL119" s="7">
        <v>4</v>
      </c>
      <c r="AM119" t="s">
        <v>51</v>
      </c>
      <c r="AN119" t="s">
        <v>50</v>
      </c>
      <c r="AO119" s="5">
        <f t="shared" si="38"/>
        <v>43</v>
      </c>
      <c r="AP119" s="5">
        <f t="shared" si="39"/>
        <v>153.79</v>
      </c>
      <c r="AQ119" s="5">
        <v>-2624.7399999999989</v>
      </c>
      <c r="AR119" s="8" t="s">
        <v>835</v>
      </c>
      <c r="AS119" t="s">
        <v>836</v>
      </c>
    </row>
    <row r="120" spans="1:45" x14ac:dyDescent="0.35">
      <c r="A120" t="s">
        <v>837</v>
      </c>
      <c r="B120">
        <v>4</v>
      </c>
      <c r="C120">
        <v>41</v>
      </c>
      <c r="D120" t="s">
        <v>838</v>
      </c>
      <c r="E120">
        <v>1</v>
      </c>
      <c r="F120" t="s">
        <v>47</v>
      </c>
      <c r="G120" s="6">
        <v>1074</v>
      </c>
      <c r="H120" t="s">
        <v>839</v>
      </c>
      <c r="I120" t="s">
        <v>840</v>
      </c>
      <c r="J120" s="5">
        <f t="shared" si="30"/>
        <v>1.4</v>
      </c>
      <c r="K120" s="5">
        <f t="shared" si="31"/>
        <v>7.8</v>
      </c>
      <c r="L120" s="5">
        <f t="shared" si="32"/>
        <v>8.4</v>
      </c>
      <c r="M120" s="5">
        <v>0.24</v>
      </c>
      <c r="N120" s="5">
        <f t="shared" si="33"/>
        <v>17.600000000000001</v>
      </c>
      <c r="P120"/>
      <c r="Q120" s="7">
        <v>14</v>
      </c>
      <c r="R120" s="7">
        <v>78</v>
      </c>
      <c r="S120" s="7">
        <v>84</v>
      </c>
      <c r="T120" s="7">
        <v>14</v>
      </c>
      <c r="U120" s="7">
        <v>78</v>
      </c>
      <c r="V120" s="7">
        <v>84</v>
      </c>
      <c r="W120" t="s">
        <v>50</v>
      </c>
      <c r="X120" t="s">
        <v>61</v>
      </c>
      <c r="Y120" t="s">
        <v>61</v>
      </c>
      <c r="Z120" t="s">
        <v>52</v>
      </c>
      <c r="AA120" s="5">
        <f t="shared" si="34"/>
        <v>20.16</v>
      </c>
      <c r="AB120" s="5">
        <f t="shared" si="35"/>
        <v>176</v>
      </c>
      <c r="AC120" t="s">
        <v>53</v>
      </c>
      <c r="AD120" t="s">
        <v>841</v>
      </c>
      <c r="AE120" s="8">
        <v>0.88067544128150188</v>
      </c>
      <c r="AF120" t="s">
        <v>834</v>
      </c>
      <c r="AG120" s="5">
        <f t="shared" si="36"/>
        <v>6.2</v>
      </c>
      <c r="AH120" s="5">
        <f t="shared" si="37"/>
        <v>0.6</v>
      </c>
      <c r="AI120" s="7">
        <v>62</v>
      </c>
      <c r="AJ120" s="7">
        <v>6</v>
      </c>
      <c r="AK120" s="7">
        <v>62</v>
      </c>
      <c r="AL120" s="7">
        <v>6</v>
      </c>
      <c r="AM120" t="s">
        <v>61</v>
      </c>
      <c r="AN120" t="s">
        <v>50</v>
      </c>
      <c r="AO120" s="5">
        <f t="shared" si="38"/>
        <v>48</v>
      </c>
      <c r="AP120" s="5">
        <f t="shared" si="39"/>
        <v>143.74</v>
      </c>
      <c r="AQ120" s="5">
        <v>-2604.579999999999</v>
      </c>
      <c r="AR120" s="8" t="s">
        <v>842</v>
      </c>
      <c r="AS120" t="s">
        <v>843</v>
      </c>
    </row>
    <row r="121" spans="1:45" x14ac:dyDescent="0.35">
      <c r="A121" t="s">
        <v>844</v>
      </c>
      <c r="B121">
        <v>4</v>
      </c>
      <c r="C121">
        <v>41</v>
      </c>
      <c r="D121" t="s">
        <v>838</v>
      </c>
      <c r="E121">
        <v>2</v>
      </c>
      <c r="F121" t="s">
        <v>79</v>
      </c>
      <c r="G121" s="6">
        <v>922</v>
      </c>
      <c r="H121" t="s">
        <v>845</v>
      </c>
      <c r="I121" t="s">
        <v>846</v>
      </c>
      <c r="J121" s="5">
        <f t="shared" si="30"/>
        <v>1.8</v>
      </c>
      <c r="K121" s="5">
        <f t="shared" si="31"/>
        <v>8</v>
      </c>
      <c r="L121" s="5">
        <f t="shared" si="32"/>
        <v>8.6</v>
      </c>
      <c r="M121" s="5">
        <v>0.3</v>
      </c>
      <c r="N121" s="5">
        <f t="shared" si="33"/>
        <v>18.399999999999999</v>
      </c>
      <c r="P121"/>
      <c r="Q121" s="7">
        <v>18</v>
      </c>
      <c r="R121" s="7">
        <v>80</v>
      </c>
      <c r="S121" s="7">
        <v>86</v>
      </c>
      <c r="T121" s="7">
        <v>18</v>
      </c>
      <c r="U121" s="7">
        <v>80</v>
      </c>
      <c r="V121" s="7">
        <v>86</v>
      </c>
      <c r="W121" t="s">
        <v>50</v>
      </c>
      <c r="X121" t="s">
        <v>61</v>
      </c>
      <c r="Y121" t="s">
        <v>61</v>
      </c>
      <c r="Z121" t="s">
        <v>52</v>
      </c>
      <c r="AA121" s="5">
        <f t="shared" si="34"/>
        <v>25.8</v>
      </c>
      <c r="AB121" s="5">
        <f t="shared" si="35"/>
        <v>184</v>
      </c>
      <c r="AC121" t="s">
        <v>53</v>
      </c>
      <c r="AD121" t="s">
        <v>841</v>
      </c>
      <c r="AE121" s="8">
        <v>0.88703958779716352</v>
      </c>
      <c r="AF121" t="s">
        <v>809</v>
      </c>
      <c r="AG121" s="5">
        <f t="shared" si="36"/>
        <v>5.8</v>
      </c>
      <c r="AH121" s="5">
        <f t="shared" si="37"/>
        <v>0.4</v>
      </c>
      <c r="AI121" s="7">
        <v>58</v>
      </c>
      <c r="AJ121" s="7">
        <v>4</v>
      </c>
      <c r="AK121" s="7">
        <v>58</v>
      </c>
      <c r="AL121" s="7">
        <v>4</v>
      </c>
      <c r="AM121" t="s">
        <v>51</v>
      </c>
      <c r="AN121" t="s">
        <v>50</v>
      </c>
      <c r="AO121" s="5">
        <f t="shared" si="38"/>
        <v>44.5</v>
      </c>
      <c r="AP121" s="5">
        <f t="shared" si="39"/>
        <v>145.79</v>
      </c>
      <c r="AQ121" s="5">
        <v>-2578.7799999999988</v>
      </c>
      <c r="AR121" s="8" t="s">
        <v>847</v>
      </c>
      <c r="AS121" t="s">
        <v>848</v>
      </c>
    </row>
    <row r="122" spans="1:45" x14ac:dyDescent="0.35">
      <c r="A122" t="s">
        <v>849</v>
      </c>
      <c r="B122">
        <v>4</v>
      </c>
      <c r="C122">
        <v>41</v>
      </c>
      <c r="D122" t="s">
        <v>838</v>
      </c>
      <c r="E122">
        <v>3</v>
      </c>
      <c r="F122" t="s">
        <v>79</v>
      </c>
      <c r="G122" s="6">
        <v>1116</v>
      </c>
      <c r="H122" t="s">
        <v>850</v>
      </c>
      <c r="I122" t="s">
        <v>851</v>
      </c>
      <c r="J122" s="5">
        <f t="shared" si="30"/>
        <v>1.6</v>
      </c>
      <c r="K122" s="5">
        <f t="shared" si="31"/>
        <v>8.1999999999999993</v>
      </c>
      <c r="L122" s="5">
        <f t="shared" si="32"/>
        <v>8.8000000000000007</v>
      </c>
      <c r="M122" s="5">
        <v>0.34</v>
      </c>
      <c r="N122" s="5">
        <f t="shared" si="33"/>
        <v>18.600000000000001</v>
      </c>
      <c r="P122"/>
      <c r="Q122" s="7">
        <v>16</v>
      </c>
      <c r="R122" s="7">
        <v>82</v>
      </c>
      <c r="S122" s="7">
        <v>88</v>
      </c>
      <c r="T122" s="7">
        <v>16</v>
      </c>
      <c r="U122" s="7">
        <v>82</v>
      </c>
      <c r="V122" s="7">
        <v>88</v>
      </c>
      <c r="W122" t="s">
        <v>50</v>
      </c>
      <c r="X122" t="s">
        <v>61</v>
      </c>
      <c r="Y122" t="s">
        <v>61</v>
      </c>
      <c r="Z122" t="s">
        <v>852</v>
      </c>
      <c r="AA122" s="5">
        <f t="shared" si="34"/>
        <v>29.92</v>
      </c>
      <c r="AB122" s="5">
        <f t="shared" si="35"/>
        <v>186</v>
      </c>
      <c r="AC122" t="s">
        <v>53</v>
      </c>
      <c r="AD122" t="s">
        <v>841</v>
      </c>
      <c r="AE122" s="8">
        <v>0.89353764921946743</v>
      </c>
      <c r="AF122" t="s">
        <v>853</v>
      </c>
      <c r="AG122" s="5">
        <f t="shared" si="36"/>
        <v>6</v>
      </c>
      <c r="AH122" s="5">
        <f t="shared" si="37"/>
        <v>0.4</v>
      </c>
      <c r="AI122" s="7">
        <v>60</v>
      </c>
      <c r="AJ122" s="7">
        <v>4</v>
      </c>
      <c r="AK122" s="7">
        <v>60</v>
      </c>
      <c r="AL122" s="7">
        <v>4</v>
      </c>
      <c r="AM122" t="s">
        <v>51</v>
      </c>
      <c r="AN122" t="s">
        <v>50</v>
      </c>
      <c r="AO122" s="5">
        <f t="shared" si="38"/>
        <v>46</v>
      </c>
      <c r="AP122" s="5">
        <f t="shared" si="39"/>
        <v>148.66999999999999</v>
      </c>
      <c r="AQ122" s="5">
        <v>-2548.8599999999992</v>
      </c>
      <c r="AR122" s="8" t="s">
        <v>854</v>
      </c>
      <c r="AS122" t="s">
        <v>855</v>
      </c>
    </row>
    <row r="123" spans="1:45" x14ac:dyDescent="0.35">
      <c r="A123" t="s">
        <v>856</v>
      </c>
      <c r="B123">
        <v>4</v>
      </c>
      <c r="C123">
        <v>42</v>
      </c>
      <c r="D123" t="s">
        <v>857</v>
      </c>
      <c r="E123">
        <v>1</v>
      </c>
      <c r="F123" t="s">
        <v>79</v>
      </c>
      <c r="G123" s="6">
        <v>1375</v>
      </c>
      <c r="H123" t="s">
        <v>858</v>
      </c>
      <c r="I123" t="s">
        <v>859</v>
      </c>
      <c r="J123" s="5">
        <f t="shared" si="30"/>
        <v>1.8</v>
      </c>
      <c r="K123" s="5">
        <f t="shared" si="31"/>
        <v>7.6</v>
      </c>
      <c r="L123" s="5">
        <f t="shared" si="32"/>
        <v>8.1999999999999993</v>
      </c>
      <c r="M123" s="5">
        <v>0.28000000000000003</v>
      </c>
      <c r="N123" s="5">
        <f t="shared" si="33"/>
        <v>17.600000000000001</v>
      </c>
      <c r="P123"/>
      <c r="Q123" s="7">
        <v>18</v>
      </c>
      <c r="R123" s="7">
        <v>76</v>
      </c>
      <c r="S123" s="7">
        <v>82</v>
      </c>
      <c r="T123" s="7">
        <v>18</v>
      </c>
      <c r="U123" s="7">
        <v>76</v>
      </c>
      <c r="V123" s="7">
        <v>82</v>
      </c>
      <c r="W123" t="s">
        <v>50</v>
      </c>
      <c r="X123" t="s">
        <v>61</v>
      </c>
      <c r="Y123" t="s">
        <v>61</v>
      </c>
      <c r="Z123" t="s">
        <v>52</v>
      </c>
      <c r="AA123" s="5">
        <f t="shared" si="34"/>
        <v>22.96</v>
      </c>
      <c r="AB123" s="5">
        <f t="shared" si="35"/>
        <v>176</v>
      </c>
      <c r="AC123" t="s">
        <v>53</v>
      </c>
      <c r="AD123" t="s">
        <v>860</v>
      </c>
      <c r="AE123" s="8">
        <v>0.90148007856341195</v>
      </c>
      <c r="AF123" t="s">
        <v>861</v>
      </c>
      <c r="AG123" s="5">
        <f t="shared" si="36"/>
        <v>6.4</v>
      </c>
      <c r="AH123" s="5">
        <f t="shared" si="37"/>
        <v>0.6</v>
      </c>
      <c r="AI123" s="7">
        <v>64</v>
      </c>
      <c r="AJ123" s="7">
        <v>6</v>
      </c>
      <c r="AK123" s="7">
        <v>64</v>
      </c>
      <c r="AL123" s="7">
        <v>6</v>
      </c>
      <c r="AM123" t="s">
        <v>61</v>
      </c>
      <c r="AN123" t="s">
        <v>50</v>
      </c>
      <c r="AO123" s="5">
        <f t="shared" si="38"/>
        <v>49.5</v>
      </c>
      <c r="AP123" s="5">
        <f t="shared" si="39"/>
        <v>145.21</v>
      </c>
      <c r="AQ123" s="5">
        <v>-2525.8999999999992</v>
      </c>
      <c r="AR123" s="8" t="s">
        <v>862</v>
      </c>
      <c r="AS123" t="s">
        <v>863</v>
      </c>
    </row>
    <row r="124" spans="1:45" x14ac:dyDescent="0.35">
      <c r="A124" t="s">
        <v>864</v>
      </c>
      <c r="B124">
        <v>4</v>
      </c>
      <c r="C124">
        <v>42</v>
      </c>
      <c r="D124" t="s">
        <v>857</v>
      </c>
      <c r="E124">
        <v>2</v>
      </c>
      <c r="F124" t="s">
        <v>47</v>
      </c>
      <c r="G124" s="6">
        <v>827</v>
      </c>
      <c r="H124" t="s">
        <v>865</v>
      </c>
      <c r="I124" t="s">
        <v>866</v>
      </c>
      <c r="J124" s="5">
        <f t="shared" si="30"/>
        <v>2</v>
      </c>
      <c r="K124" s="5">
        <f t="shared" si="31"/>
        <v>8</v>
      </c>
      <c r="L124" s="5">
        <f t="shared" si="32"/>
        <v>8.6</v>
      </c>
      <c r="M124" s="5">
        <v>0.32</v>
      </c>
      <c r="N124" s="5">
        <f t="shared" si="33"/>
        <v>18.600000000000001</v>
      </c>
      <c r="P124"/>
      <c r="Q124" s="7">
        <v>20</v>
      </c>
      <c r="R124" s="7">
        <v>80</v>
      </c>
      <c r="S124" s="7">
        <v>86</v>
      </c>
      <c r="T124" s="7">
        <v>20</v>
      </c>
      <c r="U124" s="7">
        <v>80</v>
      </c>
      <c r="V124" s="7">
        <v>86</v>
      </c>
      <c r="W124" t="s">
        <v>50</v>
      </c>
      <c r="X124" t="s">
        <v>61</v>
      </c>
      <c r="Y124" t="s">
        <v>61</v>
      </c>
      <c r="Z124" t="s">
        <v>52</v>
      </c>
      <c r="AA124" s="5">
        <f t="shared" si="34"/>
        <v>27.52</v>
      </c>
      <c r="AB124" s="5">
        <f t="shared" si="35"/>
        <v>186</v>
      </c>
      <c r="AC124" t="s">
        <v>53</v>
      </c>
      <c r="AD124" t="s">
        <v>860</v>
      </c>
      <c r="AE124" s="8">
        <v>0.90850104581165192</v>
      </c>
      <c r="AF124" t="s">
        <v>867</v>
      </c>
      <c r="AG124" s="5">
        <f t="shared" si="36"/>
        <v>6</v>
      </c>
      <c r="AH124" s="5">
        <f t="shared" si="37"/>
        <v>0.6</v>
      </c>
      <c r="AI124" s="7">
        <v>60</v>
      </c>
      <c r="AJ124" s="7">
        <v>6</v>
      </c>
      <c r="AK124" s="7">
        <v>60</v>
      </c>
      <c r="AL124" s="7">
        <v>6</v>
      </c>
      <c r="AM124" t="s">
        <v>51</v>
      </c>
      <c r="AN124" t="s">
        <v>50</v>
      </c>
      <c r="AO124" s="5">
        <f t="shared" si="38"/>
        <v>46.5</v>
      </c>
      <c r="AP124" s="5">
        <f t="shared" si="39"/>
        <v>149.16999999999999</v>
      </c>
      <c r="AQ124" s="5">
        <v>-2498.3799999999992</v>
      </c>
      <c r="AR124" s="8" t="s">
        <v>868</v>
      </c>
      <c r="AS124" t="s">
        <v>869</v>
      </c>
    </row>
    <row r="125" spans="1:45" x14ac:dyDescent="0.35">
      <c r="A125" t="s">
        <v>870</v>
      </c>
      <c r="B125">
        <v>4</v>
      </c>
      <c r="C125">
        <v>42</v>
      </c>
      <c r="D125" t="s">
        <v>857</v>
      </c>
      <c r="E125">
        <v>3</v>
      </c>
      <c r="F125" t="s">
        <v>79</v>
      </c>
      <c r="G125" s="6">
        <v>837</v>
      </c>
      <c r="H125" t="s">
        <v>871</v>
      </c>
      <c r="I125" t="s">
        <v>872</v>
      </c>
      <c r="J125" s="5">
        <f t="shared" si="30"/>
        <v>2.4</v>
      </c>
      <c r="K125" s="5">
        <f t="shared" si="31"/>
        <v>8.1999999999999993</v>
      </c>
      <c r="L125" s="5">
        <f t="shared" si="32"/>
        <v>8.8000000000000007</v>
      </c>
      <c r="M125" s="5">
        <v>0.36</v>
      </c>
      <c r="N125" s="5">
        <f t="shared" si="33"/>
        <v>19.399999999999999</v>
      </c>
      <c r="P125"/>
      <c r="Q125" s="7">
        <v>24</v>
      </c>
      <c r="R125" s="7">
        <v>82</v>
      </c>
      <c r="S125" s="7">
        <v>88</v>
      </c>
      <c r="T125" s="7">
        <v>24</v>
      </c>
      <c r="U125" s="7">
        <v>82</v>
      </c>
      <c r="V125" s="7">
        <v>88</v>
      </c>
      <c r="W125" t="s">
        <v>50</v>
      </c>
      <c r="X125" t="s">
        <v>61</v>
      </c>
      <c r="Y125" t="s">
        <v>61</v>
      </c>
      <c r="Z125" t="s">
        <v>852</v>
      </c>
      <c r="AA125" s="5">
        <f t="shared" si="34"/>
        <v>31.68</v>
      </c>
      <c r="AB125" s="5">
        <f t="shared" si="35"/>
        <v>194</v>
      </c>
      <c r="AC125" t="s">
        <v>53</v>
      </c>
      <c r="AD125" t="s">
        <v>860</v>
      </c>
      <c r="AE125" s="8">
        <v>0.91380662687480874</v>
      </c>
      <c r="AF125" t="s">
        <v>873</v>
      </c>
      <c r="AG125" s="5">
        <f t="shared" si="36"/>
        <v>5.6</v>
      </c>
      <c r="AH125" s="5">
        <f t="shared" si="37"/>
        <v>0.4</v>
      </c>
      <c r="AI125" s="7">
        <v>56</v>
      </c>
      <c r="AJ125" s="7">
        <v>4</v>
      </c>
      <c r="AK125" s="7">
        <v>56</v>
      </c>
      <c r="AL125" s="7">
        <v>4</v>
      </c>
      <c r="AM125" t="s">
        <v>51</v>
      </c>
      <c r="AN125" t="s">
        <v>50</v>
      </c>
      <c r="AO125" s="5">
        <f t="shared" si="38"/>
        <v>43</v>
      </c>
      <c r="AP125" s="5">
        <f t="shared" si="39"/>
        <v>151.08000000000001</v>
      </c>
      <c r="AQ125" s="5">
        <v>-2466.6999999999989</v>
      </c>
      <c r="AR125" s="8" t="s">
        <v>874</v>
      </c>
      <c r="AS125" t="s">
        <v>875</v>
      </c>
    </row>
    <row r="126" spans="1:45" x14ac:dyDescent="0.35">
      <c r="A126" t="s">
        <v>876</v>
      </c>
      <c r="B126">
        <v>4</v>
      </c>
      <c r="C126">
        <v>43</v>
      </c>
      <c r="D126" t="s">
        <v>877</v>
      </c>
      <c r="E126">
        <v>1</v>
      </c>
      <c r="F126" t="s">
        <v>47</v>
      </c>
      <c r="G126" s="6">
        <v>1055</v>
      </c>
      <c r="H126" t="s">
        <v>878</v>
      </c>
      <c r="I126" t="s">
        <v>879</v>
      </c>
      <c r="J126" s="5">
        <f t="shared" si="30"/>
        <v>1.6</v>
      </c>
      <c r="K126" s="5">
        <f t="shared" si="31"/>
        <v>8</v>
      </c>
      <c r="L126" s="5">
        <f t="shared" si="32"/>
        <v>8.6</v>
      </c>
      <c r="M126" s="5">
        <v>0.34</v>
      </c>
      <c r="N126" s="5">
        <f t="shared" si="33"/>
        <v>18.2</v>
      </c>
      <c r="P126"/>
      <c r="Q126" s="7">
        <v>16</v>
      </c>
      <c r="R126" s="7">
        <v>80</v>
      </c>
      <c r="S126" s="7">
        <v>86</v>
      </c>
      <c r="T126" s="7">
        <v>16</v>
      </c>
      <c r="U126" s="7">
        <v>80</v>
      </c>
      <c r="V126" s="7">
        <v>86</v>
      </c>
      <c r="W126" t="s">
        <v>50</v>
      </c>
      <c r="X126" t="s">
        <v>61</v>
      </c>
      <c r="Y126" t="s">
        <v>61</v>
      </c>
      <c r="Z126" t="s">
        <v>852</v>
      </c>
      <c r="AA126" s="5">
        <f t="shared" si="34"/>
        <v>29.24</v>
      </c>
      <c r="AB126" s="5">
        <f t="shared" si="35"/>
        <v>182</v>
      </c>
      <c r="AC126" t="s">
        <v>53</v>
      </c>
      <c r="AD126" t="s">
        <v>880</v>
      </c>
      <c r="AE126" s="8">
        <v>0.91983917457402309</v>
      </c>
      <c r="AF126" t="s">
        <v>867</v>
      </c>
      <c r="AG126" s="5">
        <f t="shared" si="36"/>
        <v>7</v>
      </c>
      <c r="AH126" s="5">
        <f t="shared" si="37"/>
        <v>0.8</v>
      </c>
      <c r="AI126" s="7">
        <v>70</v>
      </c>
      <c r="AJ126" s="7">
        <v>8</v>
      </c>
      <c r="AK126" s="7">
        <v>70</v>
      </c>
      <c r="AL126" s="7">
        <v>8</v>
      </c>
      <c r="AM126" t="s">
        <v>61</v>
      </c>
      <c r="AN126" t="s">
        <v>50</v>
      </c>
      <c r="AO126" s="5">
        <f t="shared" si="38"/>
        <v>54.5</v>
      </c>
      <c r="AP126" s="5">
        <f t="shared" si="39"/>
        <v>154.38</v>
      </c>
      <c r="AQ126" s="5">
        <v>-2437.46</v>
      </c>
      <c r="AR126" s="8" t="s">
        <v>881</v>
      </c>
      <c r="AS126" t="s">
        <v>882</v>
      </c>
    </row>
    <row r="127" spans="1:45" x14ac:dyDescent="0.35">
      <c r="A127" t="s">
        <v>883</v>
      </c>
      <c r="B127">
        <v>4</v>
      </c>
      <c r="C127">
        <v>43</v>
      </c>
      <c r="D127" t="s">
        <v>877</v>
      </c>
      <c r="E127">
        <v>2</v>
      </c>
      <c r="F127" t="s">
        <v>79</v>
      </c>
      <c r="G127" s="6">
        <v>1202</v>
      </c>
      <c r="H127" t="s">
        <v>884</v>
      </c>
      <c r="I127" t="s">
        <v>885</v>
      </c>
      <c r="J127" s="5">
        <f t="shared" si="30"/>
        <v>1.8</v>
      </c>
      <c r="K127" s="5">
        <f t="shared" si="31"/>
        <v>8.1999999999999993</v>
      </c>
      <c r="L127" s="5">
        <f t="shared" si="32"/>
        <v>8.8000000000000007</v>
      </c>
      <c r="M127" s="5">
        <v>0.38</v>
      </c>
      <c r="N127" s="5">
        <f t="shared" si="33"/>
        <v>18.8</v>
      </c>
      <c r="P127"/>
      <c r="Q127" s="7">
        <v>18</v>
      </c>
      <c r="R127" s="7">
        <v>82</v>
      </c>
      <c r="S127" s="7">
        <v>88</v>
      </c>
      <c r="T127" s="7">
        <v>18</v>
      </c>
      <c r="U127" s="7">
        <v>82</v>
      </c>
      <c r="V127" s="7">
        <v>88</v>
      </c>
      <c r="W127" t="s">
        <v>50</v>
      </c>
      <c r="X127" t="s">
        <v>61</v>
      </c>
      <c r="Y127" t="s">
        <v>61</v>
      </c>
      <c r="Z127" t="s">
        <v>852</v>
      </c>
      <c r="AA127" s="5">
        <f t="shared" si="34"/>
        <v>33.44</v>
      </c>
      <c r="AB127" s="5">
        <f t="shared" si="35"/>
        <v>188</v>
      </c>
      <c r="AC127" t="s">
        <v>53</v>
      </c>
      <c r="AD127" t="s">
        <v>880</v>
      </c>
      <c r="AE127" s="8">
        <v>0.92703550658096112</v>
      </c>
      <c r="AF127" t="s">
        <v>886</v>
      </c>
      <c r="AG127" s="5">
        <f t="shared" si="36"/>
        <v>7.4</v>
      </c>
      <c r="AH127" s="5">
        <f t="shared" si="37"/>
        <v>0.8</v>
      </c>
      <c r="AI127" s="7">
        <v>74</v>
      </c>
      <c r="AJ127" s="7">
        <v>8</v>
      </c>
      <c r="AK127" s="7">
        <v>74</v>
      </c>
      <c r="AL127" s="7">
        <v>8</v>
      </c>
      <c r="AM127" t="s">
        <v>61</v>
      </c>
      <c r="AN127" t="s">
        <v>50</v>
      </c>
      <c r="AO127" s="5">
        <f t="shared" si="38"/>
        <v>57.5</v>
      </c>
      <c r="AP127" s="5">
        <f t="shared" si="39"/>
        <v>161.71</v>
      </c>
      <c r="AQ127" s="5">
        <v>-2404.02</v>
      </c>
      <c r="AR127" s="8" t="s">
        <v>887</v>
      </c>
      <c r="AS127" t="s">
        <v>888</v>
      </c>
    </row>
    <row r="128" spans="1:45" x14ac:dyDescent="0.35">
      <c r="A128" t="s">
        <v>889</v>
      </c>
      <c r="B128">
        <v>4</v>
      </c>
      <c r="C128">
        <v>43</v>
      </c>
      <c r="D128" t="s">
        <v>877</v>
      </c>
      <c r="E128">
        <v>3</v>
      </c>
      <c r="F128" t="s">
        <v>47</v>
      </c>
      <c r="G128" s="6">
        <v>919</v>
      </c>
      <c r="H128" t="s">
        <v>890</v>
      </c>
      <c r="I128" t="s">
        <v>891</v>
      </c>
      <c r="J128" s="5">
        <f t="shared" si="30"/>
        <v>2</v>
      </c>
      <c r="K128" s="5">
        <f t="shared" si="31"/>
        <v>8.4</v>
      </c>
      <c r="L128" s="5">
        <f t="shared" si="32"/>
        <v>9</v>
      </c>
      <c r="M128" s="5">
        <v>0.4</v>
      </c>
      <c r="N128" s="5">
        <f t="shared" si="33"/>
        <v>19.399999999999999</v>
      </c>
      <c r="P128"/>
      <c r="Q128" s="7">
        <v>20</v>
      </c>
      <c r="R128" s="7">
        <v>84</v>
      </c>
      <c r="S128" s="7">
        <v>90</v>
      </c>
      <c r="T128" s="7">
        <v>20</v>
      </c>
      <c r="U128" s="7">
        <v>84</v>
      </c>
      <c r="V128" s="7">
        <v>90</v>
      </c>
      <c r="W128" t="s">
        <v>50</v>
      </c>
      <c r="X128" t="s">
        <v>61</v>
      </c>
      <c r="Y128" t="s">
        <v>523</v>
      </c>
      <c r="Z128" t="s">
        <v>852</v>
      </c>
      <c r="AA128" s="5">
        <f t="shared" si="34"/>
        <v>36</v>
      </c>
      <c r="AB128" s="5">
        <f t="shared" si="35"/>
        <v>194</v>
      </c>
      <c r="AC128" t="s">
        <v>53</v>
      </c>
      <c r="AD128" t="s">
        <v>880</v>
      </c>
      <c r="AE128" s="8">
        <v>0.93379820936639113</v>
      </c>
      <c r="AF128" t="s">
        <v>834</v>
      </c>
      <c r="AG128" s="5">
        <f t="shared" si="36"/>
        <v>6.8</v>
      </c>
      <c r="AH128" s="5">
        <f t="shared" si="37"/>
        <v>0.6</v>
      </c>
      <c r="AI128" s="7">
        <v>68</v>
      </c>
      <c r="AJ128" s="7">
        <v>6</v>
      </c>
      <c r="AK128" s="7">
        <v>68</v>
      </c>
      <c r="AL128" s="7">
        <v>6</v>
      </c>
      <c r="AM128" t="s">
        <v>61</v>
      </c>
      <c r="AN128" t="s">
        <v>50</v>
      </c>
      <c r="AO128" s="5">
        <f t="shared" si="38"/>
        <v>52.5</v>
      </c>
      <c r="AP128" s="5">
        <f t="shared" si="39"/>
        <v>160.88</v>
      </c>
      <c r="AQ128" s="5">
        <v>-2368.02</v>
      </c>
      <c r="AR128" s="8" t="s">
        <v>892</v>
      </c>
      <c r="AS128" t="s">
        <v>893</v>
      </c>
    </row>
    <row r="129" spans="1:45" x14ac:dyDescent="0.35">
      <c r="A129" t="s">
        <v>894</v>
      </c>
      <c r="B129">
        <v>4</v>
      </c>
      <c r="C129">
        <v>44</v>
      </c>
      <c r="D129" t="s">
        <v>895</v>
      </c>
      <c r="E129">
        <v>1</v>
      </c>
      <c r="F129" t="s">
        <v>47</v>
      </c>
      <c r="G129" s="6">
        <v>790</v>
      </c>
      <c r="H129" t="s">
        <v>896</v>
      </c>
      <c r="I129" t="s">
        <v>897</v>
      </c>
      <c r="J129" s="5">
        <f t="shared" si="30"/>
        <v>1</v>
      </c>
      <c r="K129" s="5">
        <f t="shared" si="31"/>
        <v>7.8</v>
      </c>
      <c r="L129" s="5">
        <f t="shared" si="32"/>
        <v>8.1999999999999993</v>
      </c>
      <c r="M129" s="5">
        <v>0.42</v>
      </c>
      <c r="N129" s="5">
        <f t="shared" si="33"/>
        <v>17</v>
      </c>
      <c r="P129"/>
      <c r="Q129" s="7">
        <v>10</v>
      </c>
      <c r="R129" s="7">
        <v>78</v>
      </c>
      <c r="S129" s="7">
        <v>82</v>
      </c>
      <c r="T129" s="7">
        <v>10</v>
      </c>
      <c r="U129" s="7">
        <v>78</v>
      </c>
      <c r="V129" s="7">
        <v>82</v>
      </c>
      <c r="W129" t="s">
        <v>50</v>
      </c>
      <c r="X129" t="s">
        <v>61</v>
      </c>
      <c r="Y129" t="s">
        <v>61</v>
      </c>
      <c r="Z129" t="s">
        <v>852</v>
      </c>
      <c r="AA129" s="5">
        <f t="shared" si="34"/>
        <v>34.44</v>
      </c>
      <c r="AB129" s="5">
        <f t="shared" si="35"/>
        <v>170</v>
      </c>
      <c r="AC129" t="s">
        <v>53</v>
      </c>
      <c r="AD129" t="s">
        <v>898</v>
      </c>
      <c r="AE129" s="8">
        <v>0.93924727068666458</v>
      </c>
      <c r="AF129" t="s">
        <v>899</v>
      </c>
      <c r="AG129" s="5">
        <f t="shared" si="36"/>
        <v>8.6</v>
      </c>
      <c r="AH129" s="5">
        <f t="shared" si="37"/>
        <v>1.6</v>
      </c>
      <c r="AI129" s="7">
        <v>86</v>
      </c>
      <c r="AJ129" s="7">
        <v>16</v>
      </c>
      <c r="AK129" s="7">
        <v>86</v>
      </c>
      <c r="AL129" s="7">
        <v>16</v>
      </c>
      <c r="AM129" t="s">
        <v>61</v>
      </c>
      <c r="AN129" t="s">
        <v>50</v>
      </c>
      <c r="AO129" s="5">
        <f t="shared" si="38"/>
        <v>68.5</v>
      </c>
      <c r="AP129" s="5">
        <f t="shared" si="39"/>
        <v>159.26</v>
      </c>
      <c r="AQ129" s="5">
        <v>-2333.579999999999</v>
      </c>
      <c r="AR129" s="8" t="s">
        <v>900</v>
      </c>
      <c r="AS129" t="s">
        <v>901</v>
      </c>
    </row>
    <row r="130" spans="1:45" x14ac:dyDescent="0.35">
      <c r="A130" t="s">
        <v>902</v>
      </c>
      <c r="B130">
        <v>4</v>
      </c>
      <c r="C130">
        <v>44</v>
      </c>
      <c r="D130" t="s">
        <v>895</v>
      </c>
      <c r="E130">
        <v>2</v>
      </c>
      <c r="F130" t="s">
        <v>79</v>
      </c>
      <c r="G130" s="6">
        <v>936</v>
      </c>
      <c r="H130" t="s">
        <v>903</v>
      </c>
      <c r="I130" t="s">
        <v>904</v>
      </c>
      <c r="J130" s="5">
        <f t="shared" ref="J130:J161" si="40">ROUND(T130/10,2)</f>
        <v>1.4</v>
      </c>
      <c r="K130" s="5">
        <f t="shared" ref="K130:K161" si="41">ROUND(U130/10,2)</f>
        <v>8.1999999999999993</v>
      </c>
      <c r="L130" s="5">
        <f t="shared" ref="L130:L161" si="42">ROUND(V130/10,2)</f>
        <v>8.6</v>
      </c>
      <c r="M130" s="5">
        <v>0.46</v>
      </c>
      <c r="N130" s="5">
        <f t="shared" ref="N130:N161" si="43">ROUND(J130+K130+L130,2)</f>
        <v>18.2</v>
      </c>
      <c r="P130"/>
      <c r="Q130" s="7">
        <v>14</v>
      </c>
      <c r="R130" s="7">
        <v>82</v>
      </c>
      <c r="S130" s="7">
        <v>86</v>
      </c>
      <c r="T130" s="7">
        <v>14</v>
      </c>
      <c r="U130" s="7">
        <v>82</v>
      </c>
      <c r="V130" s="7">
        <v>86</v>
      </c>
      <c r="W130" t="s">
        <v>50</v>
      </c>
      <c r="X130" t="s">
        <v>61</v>
      </c>
      <c r="Y130" t="s">
        <v>61</v>
      </c>
      <c r="Z130" t="s">
        <v>852</v>
      </c>
      <c r="AA130" s="5">
        <f t="shared" ref="AA130:AA161" si="44">ROUND(V130*M130,2)</f>
        <v>39.56</v>
      </c>
      <c r="AB130" s="5">
        <f t="shared" ref="AB130:AB161" si="45">T130+U130+V130</f>
        <v>182</v>
      </c>
      <c r="AC130" t="s">
        <v>53</v>
      </c>
      <c r="AD130" t="s">
        <v>898</v>
      </c>
      <c r="AE130" s="8">
        <v>0.94475053565962652</v>
      </c>
      <c r="AF130" t="s">
        <v>905</v>
      </c>
      <c r="AG130" s="5">
        <f t="shared" ref="AG130:AG161" si="46">ROUND(AK130/10,2)</f>
        <v>8</v>
      </c>
      <c r="AH130" s="5">
        <f t="shared" ref="AH130:AH161" si="47">ROUND(AL130/10,2)</f>
        <v>1.2</v>
      </c>
      <c r="AI130" s="7">
        <v>80</v>
      </c>
      <c r="AJ130" s="7">
        <v>12</v>
      </c>
      <c r="AK130" s="7">
        <v>80</v>
      </c>
      <c r="AL130" s="7">
        <v>12</v>
      </c>
      <c r="AM130" t="s">
        <v>61</v>
      </c>
      <c r="AN130" t="s">
        <v>50</v>
      </c>
      <c r="AO130" s="5">
        <f t="shared" ref="AO130:AO161" si="48">ROUND(0.75*AK130+0.25*AL130,2)</f>
        <v>63</v>
      </c>
      <c r="AP130" s="5">
        <f t="shared" ref="AP130:AP161" si="49">ROUND(0.55*AB130+0.45*AO130+0.3*(AB130*AO130/100),2)</f>
        <v>162.85</v>
      </c>
      <c r="AQ130" s="5">
        <v>-2294.02</v>
      </c>
      <c r="AR130" s="8" t="s">
        <v>906</v>
      </c>
      <c r="AS130" t="s">
        <v>907</v>
      </c>
    </row>
    <row r="131" spans="1:45" x14ac:dyDescent="0.35">
      <c r="A131" t="s">
        <v>908</v>
      </c>
      <c r="B131">
        <v>4</v>
      </c>
      <c r="C131">
        <v>44</v>
      </c>
      <c r="D131" t="s">
        <v>895</v>
      </c>
      <c r="E131">
        <v>3</v>
      </c>
      <c r="F131" t="s">
        <v>47</v>
      </c>
      <c r="G131" s="6">
        <v>1175</v>
      </c>
      <c r="H131" t="s">
        <v>909</v>
      </c>
      <c r="I131" t="s">
        <v>910</v>
      </c>
      <c r="J131" s="5">
        <f t="shared" si="40"/>
        <v>1.6</v>
      </c>
      <c r="K131" s="5">
        <f t="shared" si="41"/>
        <v>8.4</v>
      </c>
      <c r="L131" s="5">
        <f t="shared" si="42"/>
        <v>8.8000000000000007</v>
      </c>
      <c r="M131" s="5">
        <v>0.48</v>
      </c>
      <c r="N131" s="5">
        <f t="shared" si="43"/>
        <v>18.8</v>
      </c>
      <c r="P131"/>
      <c r="Q131" s="7">
        <v>16</v>
      </c>
      <c r="R131" s="7">
        <v>84</v>
      </c>
      <c r="S131" s="7">
        <v>88</v>
      </c>
      <c r="T131" s="7">
        <v>16</v>
      </c>
      <c r="U131" s="7">
        <v>84</v>
      </c>
      <c r="V131" s="7">
        <v>88</v>
      </c>
      <c r="W131" t="s">
        <v>50</v>
      </c>
      <c r="X131" t="s">
        <v>61</v>
      </c>
      <c r="Y131" t="s">
        <v>61</v>
      </c>
      <c r="Z131" t="s">
        <v>852</v>
      </c>
      <c r="AA131" s="5">
        <f t="shared" si="44"/>
        <v>42.24</v>
      </c>
      <c r="AB131" s="5">
        <f t="shared" si="45"/>
        <v>188</v>
      </c>
      <c r="AC131" t="s">
        <v>53</v>
      </c>
      <c r="AD131" t="s">
        <v>898</v>
      </c>
      <c r="AE131" s="8">
        <v>0.95148135394347511</v>
      </c>
      <c r="AF131" t="s">
        <v>899</v>
      </c>
      <c r="AG131" s="5">
        <f t="shared" si="46"/>
        <v>7.8</v>
      </c>
      <c r="AH131" s="5">
        <f t="shared" si="47"/>
        <v>1</v>
      </c>
      <c r="AI131" s="7">
        <v>78</v>
      </c>
      <c r="AJ131" s="7">
        <v>10</v>
      </c>
      <c r="AK131" s="7">
        <v>78</v>
      </c>
      <c r="AL131" s="7">
        <v>10</v>
      </c>
      <c r="AM131" t="s">
        <v>61</v>
      </c>
      <c r="AN131" t="s">
        <v>50</v>
      </c>
      <c r="AO131" s="5">
        <f t="shared" si="48"/>
        <v>61</v>
      </c>
      <c r="AP131" s="5">
        <f t="shared" si="49"/>
        <v>165.25</v>
      </c>
      <c r="AQ131" s="5">
        <v>-2251.7800000000002</v>
      </c>
      <c r="AR131" s="8" t="s">
        <v>911</v>
      </c>
      <c r="AS131" t="s">
        <v>912</v>
      </c>
    </row>
    <row r="132" spans="1:45" x14ac:dyDescent="0.35">
      <c r="A132" t="s">
        <v>913</v>
      </c>
      <c r="B132">
        <v>4</v>
      </c>
      <c r="C132">
        <v>45</v>
      </c>
      <c r="D132" t="s">
        <v>914</v>
      </c>
      <c r="E132">
        <v>1</v>
      </c>
      <c r="F132" t="s">
        <v>47</v>
      </c>
      <c r="G132" s="6">
        <v>834</v>
      </c>
      <c r="H132" t="s">
        <v>915</v>
      </c>
      <c r="I132" t="s">
        <v>916</v>
      </c>
      <c r="J132" s="5">
        <f t="shared" si="40"/>
        <v>2</v>
      </c>
      <c r="K132" s="5">
        <f t="shared" si="41"/>
        <v>8.1999999999999993</v>
      </c>
      <c r="L132" s="5">
        <f t="shared" si="42"/>
        <v>8.8000000000000007</v>
      </c>
      <c r="M132" s="5">
        <v>0.42</v>
      </c>
      <c r="N132" s="5">
        <f t="shared" si="43"/>
        <v>19</v>
      </c>
      <c r="P132"/>
      <c r="Q132" s="7">
        <v>20</v>
      </c>
      <c r="R132" s="7">
        <v>82</v>
      </c>
      <c r="S132" s="7">
        <v>88</v>
      </c>
      <c r="T132" s="7">
        <v>20</v>
      </c>
      <c r="U132" s="7">
        <v>82</v>
      </c>
      <c r="V132" s="7">
        <v>88</v>
      </c>
      <c r="W132" t="s">
        <v>50</v>
      </c>
      <c r="X132" t="s">
        <v>61</v>
      </c>
      <c r="Y132" t="s">
        <v>61</v>
      </c>
      <c r="Z132" t="s">
        <v>852</v>
      </c>
      <c r="AA132" s="5">
        <f t="shared" si="44"/>
        <v>36.96</v>
      </c>
      <c r="AB132" s="5">
        <f t="shared" si="45"/>
        <v>190</v>
      </c>
      <c r="AC132" t="s">
        <v>53</v>
      </c>
      <c r="AD132" t="s">
        <v>917</v>
      </c>
      <c r="AE132" s="8">
        <v>0.95788695031119275</v>
      </c>
      <c r="AF132" t="s">
        <v>918</v>
      </c>
      <c r="AG132" s="5">
        <f t="shared" si="46"/>
        <v>6.2</v>
      </c>
      <c r="AH132" s="5">
        <f t="shared" si="47"/>
        <v>0.8</v>
      </c>
      <c r="AI132" s="7">
        <v>62</v>
      </c>
      <c r="AJ132" s="7">
        <v>8</v>
      </c>
      <c r="AK132" s="7">
        <v>62</v>
      </c>
      <c r="AL132" s="7">
        <v>8</v>
      </c>
      <c r="AM132" t="s">
        <v>61</v>
      </c>
      <c r="AN132" t="s">
        <v>50</v>
      </c>
      <c r="AO132" s="5">
        <f t="shared" si="48"/>
        <v>48.5</v>
      </c>
      <c r="AP132" s="5">
        <f t="shared" si="49"/>
        <v>153.97</v>
      </c>
      <c r="AQ132" s="5">
        <v>-2214.8200000000002</v>
      </c>
      <c r="AR132" s="8" t="s">
        <v>919</v>
      </c>
      <c r="AS132" t="s">
        <v>920</v>
      </c>
    </row>
    <row r="133" spans="1:45" x14ac:dyDescent="0.35">
      <c r="A133" t="s">
        <v>921</v>
      </c>
      <c r="B133">
        <v>4</v>
      </c>
      <c r="C133">
        <v>45</v>
      </c>
      <c r="D133" t="s">
        <v>914</v>
      </c>
      <c r="E133">
        <v>2</v>
      </c>
      <c r="F133" t="s">
        <v>79</v>
      </c>
      <c r="G133" s="6">
        <v>523</v>
      </c>
      <c r="H133" t="s">
        <v>922</v>
      </c>
      <c r="I133" t="s">
        <v>923</v>
      </c>
      <c r="J133" s="5">
        <f t="shared" si="40"/>
        <v>2.4</v>
      </c>
      <c r="K133" s="5">
        <f t="shared" si="41"/>
        <v>8.4</v>
      </c>
      <c r="L133" s="5">
        <f t="shared" si="42"/>
        <v>9</v>
      </c>
      <c r="M133" s="5">
        <v>0.46</v>
      </c>
      <c r="N133" s="5">
        <f t="shared" si="43"/>
        <v>19.8</v>
      </c>
      <c r="P133"/>
      <c r="Q133" s="7">
        <v>24</v>
      </c>
      <c r="R133" s="7">
        <v>84</v>
      </c>
      <c r="S133" s="7">
        <v>90</v>
      </c>
      <c r="T133" s="7">
        <v>24</v>
      </c>
      <c r="U133" s="7">
        <v>84</v>
      </c>
      <c r="V133" s="7">
        <v>90</v>
      </c>
      <c r="W133" t="s">
        <v>50</v>
      </c>
      <c r="X133" t="s">
        <v>61</v>
      </c>
      <c r="Y133" t="s">
        <v>523</v>
      </c>
      <c r="Z133" t="s">
        <v>852</v>
      </c>
      <c r="AA133" s="5">
        <f t="shared" si="44"/>
        <v>41.4</v>
      </c>
      <c r="AB133" s="5">
        <f t="shared" si="45"/>
        <v>198</v>
      </c>
      <c r="AC133" t="s">
        <v>53</v>
      </c>
      <c r="AD133" t="s">
        <v>917</v>
      </c>
      <c r="AE133" s="8">
        <v>0.96221367717579842</v>
      </c>
      <c r="AF133" t="s">
        <v>924</v>
      </c>
      <c r="AG133" s="5">
        <f t="shared" si="46"/>
        <v>5.8</v>
      </c>
      <c r="AH133" s="5">
        <f t="shared" si="47"/>
        <v>0.6</v>
      </c>
      <c r="AI133" s="7">
        <v>58</v>
      </c>
      <c r="AJ133" s="7">
        <v>6</v>
      </c>
      <c r="AK133" s="7">
        <v>58</v>
      </c>
      <c r="AL133" s="7">
        <v>6</v>
      </c>
      <c r="AM133" t="s">
        <v>51</v>
      </c>
      <c r="AN133" t="s">
        <v>50</v>
      </c>
      <c r="AO133" s="5">
        <f t="shared" si="48"/>
        <v>45</v>
      </c>
      <c r="AP133" s="5">
        <f t="shared" si="49"/>
        <v>155.88</v>
      </c>
      <c r="AQ133" s="5">
        <v>-2173.42</v>
      </c>
      <c r="AR133" s="8" t="s">
        <v>925</v>
      </c>
      <c r="AS133" t="s">
        <v>926</v>
      </c>
    </row>
    <row r="134" spans="1:45" x14ac:dyDescent="0.35">
      <c r="A134" t="s">
        <v>927</v>
      </c>
      <c r="B134">
        <v>4</v>
      </c>
      <c r="C134">
        <v>45</v>
      </c>
      <c r="D134" t="s">
        <v>914</v>
      </c>
      <c r="E134">
        <v>3</v>
      </c>
      <c r="F134" t="s">
        <v>47</v>
      </c>
      <c r="G134" s="6">
        <v>887</v>
      </c>
      <c r="H134" t="s">
        <v>928</v>
      </c>
      <c r="I134" t="s">
        <v>929</v>
      </c>
      <c r="J134" s="5">
        <f t="shared" si="40"/>
        <v>2.6</v>
      </c>
      <c r="K134" s="5">
        <f t="shared" si="41"/>
        <v>8.6</v>
      </c>
      <c r="L134" s="5">
        <f t="shared" si="42"/>
        <v>9.1999999999999993</v>
      </c>
      <c r="M134" s="5">
        <v>0.5</v>
      </c>
      <c r="N134" s="5">
        <f t="shared" si="43"/>
        <v>20.399999999999999</v>
      </c>
      <c r="P134"/>
      <c r="Q134" s="7">
        <v>26</v>
      </c>
      <c r="R134" s="7">
        <v>86</v>
      </c>
      <c r="S134" s="7">
        <v>92</v>
      </c>
      <c r="T134" s="7">
        <v>26</v>
      </c>
      <c r="U134" s="7">
        <v>86</v>
      </c>
      <c r="V134" s="7">
        <v>92</v>
      </c>
      <c r="W134" t="s">
        <v>50</v>
      </c>
      <c r="X134" t="s">
        <v>61</v>
      </c>
      <c r="Y134" t="s">
        <v>523</v>
      </c>
      <c r="Z134" t="s">
        <v>852</v>
      </c>
      <c r="AA134" s="5">
        <f t="shared" si="44"/>
        <v>46</v>
      </c>
      <c r="AB134" s="5">
        <f t="shared" si="45"/>
        <v>204</v>
      </c>
      <c r="AC134" t="s">
        <v>53</v>
      </c>
      <c r="AD134" t="s">
        <v>917</v>
      </c>
      <c r="AE134" s="8">
        <v>0.9667093918987858</v>
      </c>
      <c r="AF134" t="s">
        <v>918</v>
      </c>
      <c r="AG134" s="5">
        <f t="shared" si="46"/>
        <v>5.4</v>
      </c>
      <c r="AH134" s="5">
        <f t="shared" si="47"/>
        <v>0.4</v>
      </c>
      <c r="AI134" s="7">
        <v>54</v>
      </c>
      <c r="AJ134" s="7">
        <v>4</v>
      </c>
      <c r="AK134" s="7">
        <v>54</v>
      </c>
      <c r="AL134" s="7">
        <v>4</v>
      </c>
      <c r="AM134" t="s">
        <v>51</v>
      </c>
      <c r="AN134" t="s">
        <v>50</v>
      </c>
      <c r="AO134" s="5">
        <f t="shared" si="48"/>
        <v>41.5</v>
      </c>
      <c r="AP134" s="5">
        <f t="shared" si="49"/>
        <v>156.27000000000001</v>
      </c>
      <c r="AQ134" s="5">
        <v>-2127.42</v>
      </c>
      <c r="AR134" s="8" t="s">
        <v>930</v>
      </c>
      <c r="AS134" t="s">
        <v>931</v>
      </c>
    </row>
    <row r="135" spans="1:45" x14ac:dyDescent="0.35">
      <c r="A135" t="s">
        <v>932</v>
      </c>
      <c r="B135">
        <v>4</v>
      </c>
      <c r="C135">
        <v>46</v>
      </c>
      <c r="D135" t="s">
        <v>933</v>
      </c>
      <c r="E135">
        <v>1</v>
      </c>
      <c r="F135" t="s">
        <v>79</v>
      </c>
      <c r="G135" s="6">
        <v>1005</v>
      </c>
      <c r="H135" t="s">
        <v>934</v>
      </c>
      <c r="I135" t="s">
        <v>935</v>
      </c>
      <c r="J135" s="5">
        <f t="shared" si="40"/>
        <v>2.8</v>
      </c>
      <c r="K135" s="5">
        <f t="shared" si="41"/>
        <v>8.4</v>
      </c>
      <c r="L135" s="5">
        <f t="shared" si="42"/>
        <v>9</v>
      </c>
      <c r="M135" s="5">
        <v>0.5</v>
      </c>
      <c r="N135" s="5">
        <f t="shared" si="43"/>
        <v>20.2</v>
      </c>
      <c r="P135"/>
      <c r="Q135" s="7">
        <v>28</v>
      </c>
      <c r="R135" s="7">
        <v>84</v>
      </c>
      <c r="S135" s="7">
        <v>90</v>
      </c>
      <c r="T135" s="7">
        <v>28</v>
      </c>
      <c r="U135" s="7">
        <v>84</v>
      </c>
      <c r="V135" s="7">
        <v>90</v>
      </c>
      <c r="W135" t="s">
        <v>50</v>
      </c>
      <c r="X135" t="s">
        <v>61</v>
      </c>
      <c r="Y135" t="s">
        <v>523</v>
      </c>
      <c r="Z135" t="s">
        <v>852</v>
      </c>
      <c r="AA135" s="5">
        <f t="shared" si="44"/>
        <v>45</v>
      </c>
      <c r="AB135" s="5">
        <f t="shared" si="45"/>
        <v>202</v>
      </c>
      <c r="AC135" t="s">
        <v>53</v>
      </c>
      <c r="AD135" t="s">
        <v>936</v>
      </c>
      <c r="AE135" s="8">
        <v>0.97274193959800015</v>
      </c>
      <c r="AF135" t="s">
        <v>937</v>
      </c>
      <c r="AG135" s="5">
        <f t="shared" si="46"/>
        <v>5.2</v>
      </c>
      <c r="AH135" s="5">
        <f t="shared" si="47"/>
        <v>0.4</v>
      </c>
      <c r="AI135" s="7">
        <v>52</v>
      </c>
      <c r="AJ135" s="7">
        <v>4</v>
      </c>
      <c r="AK135" s="7">
        <v>52</v>
      </c>
      <c r="AL135" s="7">
        <v>4</v>
      </c>
      <c r="AM135" t="s">
        <v>51</v>
      </c>
      <c r="AN135" t="s">
        <v>50</v>
      </c>
      <c r="AO135" s="5">
        <f t="shared" si="48"/>
        <v>40</v>
      </c>
      <c r="AP135" s="5">
        <f t="shared" si="49"/>
        <v>153.34</v>
      </c>
      <c r="AQ135" s="5">
        <v>-2082.42</v>
      </c>
      <c r="AR135" s="8" t="s">
        <v>938</v>
      </c>
      <c r="AS135" t="s">
        <v>939</v>
      </c>
    </row>
    <row r="136" spans="1:45" x14ac:dyDescent="0.35">
      <c r="A136" t="s">
        <v>940</v>
      </c>
      <c r="B136">
        <v>4</v>
      </c>
      <c r="C136">
        <v>46</v>
      </c>
      <c r="D136" t="s">
        <v>933</v>
      </c>
      <c r="E136">
        <v>2</v>
      </c>
      <c r="F136" t="s">
        <v>79</v>
      </c>
      <c r="G136" s="6">
        <v>720</v>
      </c>
      <c r="H136" t="s">
        <v>941</v>
      </c>
      <c r="I136" t="s">
        <v>942</v>
      </c>
      <c r="J136" s="5">
        <f t="shared" si="40"/>
        <v>3.2</v>
      </c>
      <c r="K136" s="5">
        <f t="shared" si="41"/>
        <v>8.6</v>
      </c>
      <c r="L136" s="5">
        <f t="shared" si="42"/>
        <v>9.1999999999999993</v>
      </c>
      <c r="M136" s="5">
        <v>0.54</v>
      </c>
      <c r="N136" s="5">
        <f t="shared" si="43"/>
        <v>21</v>
      </c>
      <c r="P136"/>
      <c r="Q136" s="7">
        <v>32</v>
      </c>
      <c r="R136" s="7">
        <v>86</v>
      </c>
      <c r="S136" s="7">
        <v>92</v>
      </c>
      <c r="T136" s="7">
        <v>32</v>
      </c>
      <c r="U136" s="7">
        <v>86</v>
      </c>
      <c r="V136" s="7">
        <v>92</v>
      </c>
      <c r="W136" t="s">
        <v>51</v>
      </c>
      <c r="X136" t="s">
        <v>61</v>
      </c>
      <c r="Y136" t="s">
        <v>523</v>
      </c>
      <c r="Z136" t="s">
        <v>852</v>
      </c>
      <c r="AA136" s="5">
        <f t="shared" si="44"/>
        <v>49.68</v>
      </c>
      <c r="AB136" s="5">
        <f t="shared" si="45"/>
        <v>210</v>
      </c>
      <c r="AC136" t="s">
        <v>53</v>
      </c>
      <c r="AD136" t="s">
        <v>936</v>
      </c>
      <c r="AE136" s="8">
        <v>0.97824201612080397</v>
      </c>
      <c r="AF136" t="s">
        <v>943</v>
      </c>
      <c r="AG136" s="5">
        <f t="shared" si="46"/>
        <v>4.8</v>
      </c>
      <c r="AH136" s="5">
        <f t="shared" si="47"/>
        <v>0.4</v>
      </c>
      <c r="AI136" s="7">
        <v>48</v>
      </c>
      <c r="AJ136" s="7">
        <v>4</v>
      </c>
      <c r="AK136" s="7">
        <v>48</v>
      </c>
      <c r="AL136" s="7">
        <v>4</v>
      </c>
      <c r="AM136" t="s">
        <v>51</v>
      </c>
      <c r="AN136" t="s">
        <v>50</v>
      </c>
      <c r="AO136" s="5">
        <f t="shared" si="48"/>
        <v>37</v>
      </c>
      <c r="AP136" s="5">
        <f t="shared" si="49"/>
        <v>155.46</v>
      </c>
      <c r="AQ136" s="5">
        <v>-2032.74</v>
      </c>
      <c r="AR136" s="8" t="s">
        <v>944</v>
      </c>
      <c r="AS136" t="s">
        <v>945</v>
      </c>
    </row>
    <row r="137" spans="1:45" x14ac:dyDescent="0.35">
      <c r="A137" t="s">
        <v>946</v>
      </c>
      <c r="B137">
        <v>4</v>
      </c>
      <c r="C137">
        <v>46</v>
      </c>
      <c r="D137" t="s">
        <v>933</v>
      </c>
      <c r="E137">
        <v>3</v>
      </c>
      <c r="F137" t="s">
        <v>79</v>
      </c>
      <c r="G137" s="6">
        <v>865</v>
      </c>
      <c r="H137" t="s">
        <v>947</v>
      </c>
      <c r="I137" t="s">
        <v>948</v>
      </c>
      <c r="J137" s="5">
        <f t="shared" si="40"/>
        <v>3</v>
      </c>
      <c r="K137" s="5">
        <f t="shared" si="41"/>
        <v>8.8000000000000007</v>
      </c>
      <c r="L137" s="5">
        <f t="shared" si="42"/>
        <v>9.4</v>
      </c>
      <c r="M137" s="5">
        <v>0.56000000000000005</v>
      </c>
      <c r="N137" s="5">
        <f t="shared" si="43"/>
        <v>21.2</v>
      </c>
      <c r="P137"/>
      <c r="Q137" s="7">
        <v>30</v>
      </c>
      <c r="R137" s="7">
        <v>88</v>
      </c>
      <c r="S137" s="7">
        <v>94</v>
      </c>
      <c r="T137" s="7">
        <v>30</v>
      </c>
      <c r="U137" s="7">
        <v>88</v>
      </c>
      <c r="V137" s="7">
        <v>94</v>
      </c>
      <c r="W137" t="s">
        <v>50</v>
      </c>
      <c r="X137" t="s">
        <v>61</v>
      </c>
      <c r="Y137" t="s">
        <v>523</v>
      </c>
      <c r="Z137" t="s">
        <v>852</v>
      </c>
      <c r="AA137" s="5">
        <f t="shared" si="44"/>
        <v>52.64</v>
      </c>
      <c r="AB137" s="5">
        <f t="shared" si="45"/>
        <v>212</v>
      </c>
      <c r="AC137" t="s">
        <v>53</v>
      </c>
      <c r="AD137" t="s">
        <v>936</v>
      </c>
      <c r="AE137" s="8">
        <v>0.98329570962146717</v>
      </c>
      <c r="AF137" t="s">
        <v>949</v>
      </c>
      <c r="AG137" s="5">
        <f t="shared" si="46"/>
        <v>5</v>
      </c>
      <c r="AH137" s="5">
        <f t="shared" si="47"/>
        <v>0.4</v>
      </c>
      <c r="AI137" s="7">
        <v>50</v>
      </c>
      <c r="AJ137" s="7">
        <v>4</v>
      </c>
      <c r="AK137" s="7">
        <v>50</v>
      </c>
      <c r="AL137" s="7">
        <v>4</v>
      </c>
      <c r="AM137" t="s">
        <v>51</v>
      </c>
      <c r="AN137" t="s">
        <v>50</v>
      </c>
      <c r="AO137" s="5">
        <f t="shared" si="48"/>
        <v>38.5</v>
      </c>
      <c r="AP137" s="5">
        <f t="shared" si="49"/>
        <v>158.41</v>
      </c>
      <c r="AQ137" s="5">
        <v>-1980.099999999999</v>
      </c>
      <c r="AR137" s="8" t="s">
        <v>950</v>
      </c>
      <c r="AS137" t="s">
        <v>951</v>
      </c>
    </row>
    <row r="138" spans="1:45" x14ac:dyDescent="0.35">
      <c r="A138" t="s">
        <v>952</v>
      </c>
      <c r="B138">
        <v>4</v>
      </c>
      <c r="C138">
        <v>46</v>
      </c>
      <c r="D138" t="s">
        <v>933</v>
      </c>
      <c r="E138">
        <v>4</v>
      </c>
      <c r="F138" t="s">
        <v>79</v>
      </c>
      <c r="G138" s="6">
        <v>561</v>
      </c>
      <c r="H138" t="s">
        <v>953</v>
      </c>
      <c r="I138" t="s">
        <v>954</v>
      </c>
      <c r="J138" s="5">
        <f t="shared" si="40"/>
        <v>2.2000000000000002</v>
      </c>
      <c r="K138" s="5">
        <f t="shared" si="41"/>
        <v>8.8000000000000007</v>
      </c>
      <c r="L138" s="5">
        <f t="shared" si="42"/>
        <v>9.1999999999999993</v>
      </c>
      <c r="M138" s="5">
        <v>0.62</v>
      </c>
      <c r="N138" s="5">
        <f t="shared" si="43"/>
        <v>20.2</v>
      </c>
      <c r="P138"/>
      <c r="Q138" s="7">
        <v>22</v>
      </c>
      <c r="R138" s="7">
        <v>88</v>
      </c>
      <c r="S138" s="7">
        <v>92</v>
      </c>
      <c r="T138" s="7">
        <v>22</v>
      </c>
      <c r="U138" s="7">
        <v>88</v>
      </c>
      <c r="V138" s="7">
        <v>92</v>
      </c>
      <c r="W138" t="s">
        <v>50</v>
      </c>
      <c r="X138" t="s">
        <v>61</v>
      </c>
      <c r="Y138" t="s">
        <v>523</v>
      </c>
      <c r="Z138" t="s">
        <v>852</v>
      </c>
      <c r="AA138" s="5">
        <f t="shared" si="44"/>
        <v>57.04</v>
      </c>
      <c r="AB138" s="5">
        <f t="shared" si="45"/>
        <v>202</v>
      </c>
      <c r="AC138" t="s">
        <v>53</v>
      </c>
      <c r="AD138" t="s">
        <v>936</v>
      </c>
      <c r="AE138" s="8">
        <v>0.98784243954698503</v>
      </c>
      <c r="AF138" t="s">
        <v>899</v>
      </c>
      <c r="AG138" s="5">
        <f t="shared" si="46"/>
        <v>7.8</v>
      </c>
      <c r="AH138" s="5">
        <f t="shared" si="47"/>
        <v>1.8</v>
      </c>
      <c r="AI138" s="7">
        <v>78</v>
      </c>
      <c r="AJ138" s="7">
        <v>18</v>
      </c>
      <c r="AK138" s="7">
        <v>78</v>
      </c>
      <c r="AL138" s="7">
        <v>18</v>
      </c>
      <c r="AM138" t="s">
        <v>61</v>
      </c>
      <c r="AN138" t="s">
        <v>50</v>
      </c>
      <c r="AO138" s="5">
        <f t="shared" si="48"/>
        <v>63</v>
      </c>
      <c r="AP138" s="5">
        <f t="shared" si="49"/>
        <v>177.63</v>
      </c>
      <c r="AQ138" s="5">
        <v>-1923.059999999999</v>
      </c>
      <c r="AR138" s="8" t="s">
        <v>955</v>
      </c>
      <c r="AS138" t="s">
        <v>956</v>
      </c>
    </row>
    <row r="139" spans="1:45" x14ac:dyDescent="0.35">
      <c r="A139" t="s">
        <v>957</v>
      </c>
      <c r="B139">
        <v>4</v>
      </c>
      <c r="C139">
        <v>47</v>
      </c>
      <c r="D139" t="s">
        <v>958</v>
      </c>
      <c r="E139">
        <v>1</v>
      </c>
      <c r="F139" t="s">
        <v>47</v>
      </c>
      <c r="G139" s="6">
        <v>738</v>
      </c>
      <c r="H139" t="s">
        <v>959</v>
      </c>
      <c r="I139" t="s">
        <v>960</v>
      </c>
      <c r="J139" s="5">
        <f t="shared" si="40"/>
        <v>3.4</v>
      </c>
      <c r="K139" s="5">
        <f t="shared" si="41"/>
        <v>8.8000000000000007</v>
      </c>
      <c r="L139" s="5">
        <f t="shared" si="42"/>
        <v>9.4</v>
      </c>
      <c r="M139" s="5">
        <v>0.57999999999999996</v>
      </c>
      <c r="N139" s="5">
        <f t="shared" si="43"/>
        <v>21.6</v>
      </c>
      <c r="P139"/>
      <c r="Q139" s="7">
        <v>34</v>
      </c>
      <c r="R139" s="7">
        <v>88</v>
      </c>
      <c r="S139" s="7">
        <v>94</v>
      </c>
      <c r="T139" s="7">
        <v>34</v>
      </c>
      <c r="U139" s="7">
        <v>88</v>
      </c>
      <c r="V139" s="7">
        <v>94</v>
      </c>
      <c r="W139" t="s">
        <v>51</v>
      </c>
      <c r="X139" t="s">
        <v>61</v>
      </c>
      <c r="Y139" t="s">
        <v>523</v>
      </c>
      <c r="Z139" t="s">
        <v>852</v>
      </c>
      <c r="AA139" s="5">
        <f t="shared" si="44"/>
        <v>54.52</v>
      </c>
      <c r="AB139" s="5">
        <f t="shared" si="45"/>
        <v>216</v>
      </c>
      <c r="AC139" t="s">
        <v>53</v>
      </c>
      <c r="AD139" t="s">
        <v>961</v>
      </c>
      <c r="AE139" s="8">
        <v>0.99198423630241817</v>
      </c>
      <c r="AF139" t="s">
        <v>962</v>
      </c>
      <c r="AG139" s="5">
        <f t="shared" si="46"/>
        <v>4.8</v>
      </c>
      <c r="AH139" s="5">
        <f t="shared" si="47"/>
        <v>0.4</v>
      </c>
      <c r="AI139" s="7">
        <v>48</v>
      </c>
      <c r="AJ139" s="7">
        <v>4</v>
      </c>
      <c r="AK139" s="7">
        <v>48</v>
      </c>
      <c r="AL139" s="7">
        <v>4</v>
      </c>
      <c r="AM139" t="s">
        <v>51</v>
      </c>
      <c r="AN139" t="s">
        <v>50</v>
      </c>
      <c r="AO139" s="5">
        <f t="shared" si="48"/>
        <v>37</v>
      </c>
      <c r="AP139" s="5">
        <f t="shared" si="49"/>
        <v>159.43</v>
      </c>
      <c r="AQ139" s="5">
        <v>-1868.54</v>
      </c>
      <c r="AR139" s="8" t="s">
        <v>963</v>
      </c>
      <c r="AS139" t="s">
        <v>964</v>
      </c>
    </row>
    <row r="140" spans="1:45" x14ac:dyDescent="0.35">
      <c r="A140" t="s">
        <v>965</v>
      </c>
      <c r="B140">
        <v>4</v>
      </c>
      <c r="C140">
        <v>47</v>
      </c>
      <c r="D140" t="s">
        <v>958</v>
      </c>
      <c r="E140">
        <v>2</v>
      </c>
      <c r="F140" t="s">
        <v>79</v>
      </c>
      <c r="G140" s="6">
        <v>41</v>
      </c>
      <c r="H140" t="s">
        <v>966</v>
      </c>
      <c r="I140" t="s">
        <v>967</v>
      </c>
      <c r="J140" s="5">
        <f t="shared" si="40"/>
        <v>2.6</v>
      </c>
      <c r="K140" s="5">
        <f t="shared" si="41"/>
        <v>8.6</v>
      </c>
      <c r="L140" s="5">
        <f t="shared" si="42"/>
        <v>9.1999999999999993</v>
      </c>
      <c r="M140" s="5">
        <v>0.56000000000000005</v>
      </c>
      <c r="N140" s="5">
        <f t="shared" si="43"/>
        <v>20.399999999999999</v>
      </c>
      <c r="P140"/>
      <c r="Q140" s="7">
        <v>26</v>
      </c>
      <c r="R140" s="7">
        <v>86</v>
      </c>
      <c r="S140" s="7">
        <v>92</v>
      </c>
      <c r="T140" s="7">
        <v>26</v>
      </c>
      <c r="U140" s="7">
        <v>86</v>
      </c>
      <c r="V140" s="7">
        <v>92</v>
      </c>
      <c r="W140" t="s">
        <v>50</v>
      </c>
      <c r="X140" t="s">
        <v>61</v>
      </c>
      <c r="Y140" t="s">
        <v>523</v>
      </c>
      <c r="Z140" t="s">
        <v>852</v>
      </c>
      <c r="AA140" s="5">
        <f t="shared" si="44"/>
        <v>51.52</v>
      </c>
      <c r="AB140" s="5">
        <f t="shared" si="45"/>
        <v>204</v>
      </c>
      <c r="AC140" t="s">
        <v>53</v>
      </c>
      <c r="AD140" t="s">
        <v>961</v>
      </c>
      <c r="AE140" s="8">
        <v>0.99446803897561475</v>
      </c>
      <c r="AF140" t="s">
        <v>962</v>
      </c>
      <c r="AG140" s="5">
        <f t="shared" si="46"/>
        <v>4.4000000000000004</v>
      </c>
      <c r="AH140" s="5">
        <f t="shared" si="47"/>
        <v>0.4</v>
      </c>
      <c r="AI140" s="7">
        <v>44</v>
      </c>
      <c r="AJ140" s="7">
        <v>4</v>
      </c>
      <c r="AK140" s="7">
        <v>44</v>
      </c>
      <c r="AL140" s="7">
        <v>4</v>
      </c>
      <c r="AM140" t="s">
        <v>51</v>
      </c>
      <c r="AN140" t="s">
        <v>50</v>
      </c>
      <c r="AO140" s="5">
        <f t="shared" si="48"/>
        <v>34</v>
      </c>
      <c r="AP140" s="5">
        <f t="shared" si="49"/>
        <v>148.31</v>
      </c>
      <c r="AQ140" s="5">
        <v>-1817.02</v>
      </c>
      <c r="AR140" s="8" t="s">
        <v>968</v>
      </c>
      <c r="AS140" t="s">
        <v>969</v>
      </c>
    </row>
    <row r="141" spans="1:45" x14ac:dyDescent="0.35">
      <c r="A141" t="s">
        <v>970</v>
      </c>
      <c r="B141">
        <v>4</v>
      </c>
      <c r="C141">
        <v>47</v>
      </c>
      <c r="D141" t="s">
        <v>958</v>
      </c>
      <c r="E141">
        <v>3</v>
      </c>
      <c r="F141" t="s">
        <v>47</v>
      </c>
      <c r="G141" s="6">
        <v>38</v>
      </c>
      <c r="H141" t="s">
        <v>971</v>
      </c>
      <c r="I141" t="s">
        <v>972</v>
      </c>
      <c r="J141" s="5">
        <f t="shared" si="40"/>
        <v>4</v>
      </c>
      <c r="K141" s="5">
        <f t="shared" si="41"/>
        <v>9</v>
      </c>
      <c r="L141" s="5">
        <f t="shared" si="42"/>
        <v>9.5</v>
      </c>
      <c r="M141" s="5">
        <v>0.6</v>
      </c>
      <c r="N141" s="5">
        <f t="shared" si="43"/>
        <v>22.5</v>
      </c>
      <c r="P141"/>
      <c r="Q141" s="7">
        <v>40</v>
      </c>
      <c r="R141" s="7">
        <v>90</v>
      </c>
      <c r="S141" s="7">
        <v>95</v>
      </c>
      <c r="T141" s="7">
        <v>40</v>
      </c>
      <c r="U141" s="7">
        <v>90</v>
      </c>
      <c r="V141" s="7">
        <v>95</v>
      </c>
      <c r="W141" t="s">
        <v>51</v>
      </c>
      <c r="X141" t="s">
        <v>523</v>
      </c>
      <c r="Y141" t="s">
        <v>523</v>
      </c>
      <c r="Z141" t="s">
        <v>852</v>
      </c>
      <c r="AA141" s="5">
        <f t="shared" si="44"/>
        <v>57</v>
      </c>
      <c r="AB141" s="5">
        <f t="shared" si="45"/>
        <v>225</v>
      </c>
      <c r="AC141" t="s">
        <v>53</v>
      </c>
      <c r="AD141" t="s">
        <v>961</v>
      </c>
      <c r="AE141" s="8">
        <v>0.99471992653810837</v>
      </c>
      <c r="AF141" t="s">
        <v>962</v>
      </c>
      <c r="AG141" s="5">
        <f t="shared" si="46"/>
        <v>3.4</v>
      </c>
      <c r="AH141" s="5">
        <f t="shared" si="47"/>
        <v>0.2</v>
      </c>
      <c r="AI141" s="7">
        <v>34</v>
      </c>
      <c r="AJ141" s="7">
        <v>2</v>
      </c>
      <c r="AK141" s="7">
        <v>34</v>
      </c>
      <c r="AL141" s="7">
        <v>2</v>
      </c>
      <c r="AM141" t="s">
        <v>51</v>
      </c>
      <c r="AN141" t="s">
        <v>50</v>
      </c>
      <c r="AO141" s="5">
        <f t="shared" si="48"/>
        <v>26</v>
      </c>
      <c r="AP141" s="5">
        <f t="shared" si="49"/>
        <v>153</v>
      </c>
      <c r="AQ141" s="5">
        <v>-1760.02</v>
      </c>
      <c r="AR141" s="8" t="s">
        <v>973</v>
      </c>
      <c r="AS141" t="s">
        <v>974</v>
      </c>
    </row>
    <row r="142" spans="1:45" x14ac:dyDescent="0.35">
      <c r="A142" t="s">
        <v>975</v>
      </c>
      <c r="B142">
        <v>4</v>
      </c>
      <c r="C142">
        <v>47</v>
      </c>
      <c r="D142" t="s">
        <v>958</v>
      </c>
      <c r="E142">
        <v>4</v>
      </c>
      <c r="F142" t="s">
        <v>79</v>
      </c>
      <c r="G142" s="6">
        <v>33</v>
      </c>
      <c r="H142" t="s">
        <v>976</v>
      </c>
      <c r="I142" t="s">
        <v>977</v>
      </c>
      <c r="J142" s="5">
        <f t="shared" si="40"/>
        <v>2.2000000000000002</v>
      </c>
      <c r="K142" s="5">
        <f t="shared" si="41"/>
        <v>8.4</v>
      </c>
      <c r="L142" s="5">
        <f t="shared" si="42"/>
        <v>9</v>
      </c>
      <c r="M142" s="5">
        <v>0.64</v>
      </c>
      <c r="N142" s="5">
        <f t="shared" si="43"/>
        <v>19.600000000000001</v>
      </c>
      <c r="P142"/>
      <c r="Q142" s="7">
        <v>22</v>
      </c>
      <c r="R142" s="7">
        <v>84</v>
      </c>
      <c r="S142" s="7">
        <v>90</v>
      </c>
      <c r="T142" s="7">
        <v>22</v>
      </c>
      <c r="U142" s="7">
        <v>84</v>
      </c>
      <c r="V142" s="7">
        <v>90</v>
      </c>
      <c r="W142" t="s">
        <v>50</v>
      </c>
      <c r="X142" t="s">
        <v>61</v>
      </c>
      <c r="Y142" t="s">
        <v>523</v>
      </c>
      <c r="Z142" t="s">
        <v>852</v>
      </c>
      <c r="AA142" s="5">
        <f t="shared" si="44"/>
        <v>57.6</v>
      </c>
      <c r="AB142" s="5">
        <f t="shared" si="45"/>
        <v>196</v>
      </c>
      <c r="AC142" t="s">
        <v>53</v>
      </c>
      <c r="AD142" t="s">
        <v>961</v>
      </c>
      <c r="AE142" s="8">
        <v>0.9949463064993368</v>
      </c>
      <c r="AF142" t="s">
        <v>962</v>
      </c>
      <c r="AG142" s="5">
        <f t="shared" si="46"/>
        <v>5.2</v>
      </c>
      <c r="AH142" s="5">
        <f t="shared" si="47"/>
        <v>0.4</v>
      </c>
      <c r="AI142" s="7">
        <v>52</v>
      </c>
      <c r="AJ142" s="7">
        <v>4</v>
      </c>
      <c r="AK142" s="7">
        <v>52</v>
      </c>
      <c r="AL142" s="7">
        <v>4</v>
      </c>
      <c r="AM142" t="s">
        <v>51</v>
      </c>
      <c r="AN142" t="s">
        <v>50</v>
      </c>
      <c r="AO142" s="5">
        <f t="shared" si="48"/>
        <v>40</v>
      </c>
      <c r="AP142" s="5">
        <f t="shared" si="49"/>
        <v>149.32</v>
      </c>
      <c r="AQ142" s="5">
        <v>-1702.42</v>
      </c>
      <c r="AR142" s="8" t="s">
        <v>978</v>
      </c>
      <c r="AS142" t="s">
        <v>979</v>
      </c>
    </row>
    <row r="143" spans="1:45" x14ac:dyDescent="0.35">
      <c r="A143" t="s">
        <v>980</v>
      </c>
      <c r="B143">
        <v>4</v>
      </c>
      <c r="C143">
        <v>48</v>
      </c>
      <c r="D143" t="s">
        <v>981</v>
      </c>
      <c r="E143">
        <v>1</v>
      </c>
      <c r="F143" t="s">
        <v>47</v>
      </c>
      <c r="G143" s="6">
        <v>47</v>
      </c>
      <c r="H143" t="s">
        <v>982</v>
      </c>
      <c r="I143" t="s">
        <v>983</v>
      </c>
      <c r="J143" s="5">
        <f t="shared" si="40"/>
        <v>2.8</v>
      </c>
      <c r="K143" s="5">
        <f t="shared" si="41"/>
        <v>9</v>
      </c>
      <c r="L143" s="5">
        <f t="shared" si="42"/>
        <v>9.4</v>
      </c>
      <c r="M143" s="5">
        <v>0.66</v>
      </c>
      <c r="N143" s="5">
        <f t="shared" si="43"/>
        <v>21.2</v>
      </c>
      <c r="P143"/>
      <c r="Q143" s="7">
        <v>28</v>
      </c>
      <c r="R143" s="7">
        <v>90</v>
      </c>
      <c r="S143" s="7">
        <v>94</v>
      </c>
      <c r="T143" s="7">
        <v>28</v>
      </c>
      <c r="U143" s="7">
        <v>90</v>
      </c>
      <c r="V143" s="7">
        <v>94</v>
      </c>
      <c r="W143" t="s">
        <v>50</v>
      </c>
      <c r="X143" t="s">
        <v>523</v>
      </c>
      <c r="Y143" t="s">
        <v>523</v>
      </c>
      <c r="Z143" t="s">
        <v>852</v>
      </c>
      <c r="AA143" s="5">
        <f t="shared" si="44"/>
        <v>62.04</v>
      </c>
      <c r="AB143" s="5">
        <f t="shared" si="45"/>
        <v>212</v>
      </c>
      <c r="AC143" t="s">
        <v>53</v>
      </c>
      <c r="AD143" t="s">
        <v>984</v>
      </c>
      <c r="AE143" s="8">
        <v>0.99520138251198853</v>
      </c>
      <c r="AF143" t="s">
        <v>962</v>
      </c>
      <c r="AG143" s="5">
        <f t="shared" si="46"/>
        <v>3.6</v>
      </c>
      <c r="AH143" s="5">
        <f t="shared" si="47"/>
        <v>0.2</v>
      </c>
      <c r="AI143" s="7">
        <v>36</v>
      </c>
      <c r="AJ143" s="7">
        <v>2</v>
      </c>
      <c r="AK143" s="7">
        <v>36</v>
      </c>
      <c r="AL143" s="7">
        <v>2</v>
      </c>
      <c r="AM143" t="s">
        <v>51</v>
      </c>
      <c r="AN143" t="s">
        <v>50</v>
      </c>
      <c r="AO143" s="5">
        <f t="shared" si="48"/>
        <v>27.5</v>
      </c>
      <c r="AP143" s="5">
        <f t="shared" si="49"/>
        <v>146.47</v>
      </c>
      <c r="AQ143" s="5">
        <v>-1640.38</v>
      </c>
      <c r="AR143" s="8" t="s">
        <v>985</v>
      </c>
      <c r="AS143" t="s">
        <v>986</v>
      </c>
    </row>
    <row r="144" spans="1:45" x14ac:dyDescent="0.35">
      <c r="A144" t="s">
        <v>987</v>
      </c>
      <c r="B144">
        <v>4</v>
      </c>
      <c r="C144">
        <v>48</v>
      </c>
      <c r="D144" t="s">
        <v>981</v>
      </c>
      <c r="E144">
        <v>2</v>
      </c>
      <c r="F144" t="s">
        <v>79</v>
      </c>
      <c r="G144" s="6">
        <v>36</v>
      </c>
      <c r="H144" t="s">
        <v>988</v>
      </c>
      <c r="I144" t="s">
        <v>989</v>
      </c>
      <c r="J144" s="5">
        <f t="shared" si="40"/>
        <v>2.4</v>
      </c>
      <c r="K144" s="5">
        <f t="shared" si="41"/>
        <v>8.6</v>
      </c>
      <c r="L144" s="5">
        <f t="shared" si="42"/>
        <v>9.1999999999999993</v>
      </c>
      <c r="M144" s="5">
        <v>0.68</v>
      </c>
      <c r="N144" s="5">
        <f t="shared" si="43"/>
        <v>20.2</v>
      </c>
      <c r="P144"/>
      <c r="Q144" s="7">
        <v>24</v>
      </c>
      <c r="R144" s="7">
        <v>86</v>
      </c>
      <c r="S144" s="7">
        <v>92</v>
      </c>
      <c r="T144" s="7">
        <v>24</v>
      </c>
      <c r="U144" s="7">
        <v>86</v>
      </c>
      <c r="V144" s="7">
        <v>92</v>
      </c>
      <c r="W144" t="s">
        <v>50</v>
      </c>
      <c r="X144" t="s">
        <v>61</v>
      </c>
      <c r="Y144" t="s">
        <v>523</v>
      </c>
      <c r="Z144" t="s">
        <v>852</v>
      </c>
      <c r="AA144" s="5">
        <f t="shared" si="44"/>
        <v>62.56</v>
      </c>
      <c r="AB144" s="5">
        <f t="shared" si="45"/>
        <v>202</v>
      </c>
      <c r="AC144" t="s">
        <v>53</v>
      </c>
      <c r="AD144" t="s">
        <v>984</v>
      </c>
      <c r="AE144" s="8">
        <v>0.99546602387511474</v>
      </c>
      <c r="AF144" t="s">
        <v>962</v>
      </c>
      <c r="AG144" s="5">
        <f t="shared" si="46"/>
        <v>4.8</v>
      </c>
      <c r="AH144" s="5">
        <f t="shared" si="47"/>
        <v>0.4</v>
      </c>
      <c r="AI144" s="7">
        <v>48</v>
      </c>
      <c r="AJ144" s="7">
        <v>4</v>
      </c>
      <c r="AK144" s="7">
        <v>48</v>
      </c>
      <c r="AL144" s="7">
        <v>4</v>
      </c>
      <c r="AM144" t="s">
        <v>51</v>
      </c>
      <c r="AN144" t="s">
        <v>50</v>
      </c>
      <c r="AO144" s="5">
        <f t="shared" si="48"/>
        <v>37</v>
      </c>
      <c r="AP144" s="5">
        <f t="shared" si="49"/>
        <v>150.16999999999999</v>
      </c>
      <c r="AQ144" s="5">
        <v>-1577.82</v>
      </c>
      <c r="AR144" s="8" t="s">
        <v>990</v>
      </c>
      <c r="AS144" t="s">
        <v>991</v>
      </c>
    </row>
    <row r="145" spans="1:45" x14ac:dyDescent="0.35">
      <c r="A145" t="s">
        <v>992</v>
      </c>
      <c r="B145">
        <v>4</v>
      </c>
      <c r="C145">
        <v>48</v>
      </c>
      <c r="D145" t="s">
        <v>981</v>
      </c>
      <c r="E145">
        <v>3</v>
      </c>
      <c r="F145" t="s">
        <v>47</v>
      </c>
      <c r="G145" s="6">
        <v>47</v>
      </c>
      <c r="H145" t="s">
        <v>993</v>
      </c>
      <c r="I145" t="s">
        <v>994</v>
      </c>
      <c r="J145" s="5">
        <f t="shared" si="40"/>
        <v>3.4</v>
      </c>
      <c r="K145" s="5">
        <f t="shared" si="41"/>
        <v>8.8000000000000007</v>
      </c>
      <c r="L145" s="5">
        <f t="shared" si="42"/>
        <v>9.4</v>
      </c>
      <c r="M145" s="5">
        <v>0.7</v>
      </c>
      <c r="N145" s="5">
        <f t="shared" si="43"/>
        <v>21.6</v>
      </c>
      <c r="P145"/>
      <c r="Q145" s="7">
        <v>34</v>
      </c>
      <c r="R145" s="7">
        <v>88</v>
      </c>
      <c r="S145" s="7">
        <v>94</v>
      </c>
      <c r="T145" s="7">
        <v>34</v>
      </c>
      <c r="U145" s="7">
        <v>88</v>
      </c>
      <c r="V145" s="7">
        <v>94</v>
      </c>
      <c r="W145" t="s">
        <v>51</v>
      </c>
      <c r="X145" t="s">
        <v>61</v>
      </c>
      <c r="Y145" t="s">
        <v>523</v>
      </c>
      <c r="Z145" t="s">
        <v>852</v>
      </c>
      <c r="AA145" s="5">
        <f t="shared" si="44"/>
        <v>65.8</v>
      </c>
      <c r="AB145" s="5">
        <f t="shared" si="45"/>
        <v>216</v>
      </c>
      <c r="AC145" t="s">
        <v>53</v>
      </c>
      <c r="AD145" t="s">
        <v>984</v>
      </c>
      <c r="AE145" s="8">
        <v>0.99573066523824094</v>
      </c>
      <c r="AF145" t="s">
        <v>962</v>
      </c>
      <c r="AG145" s="5">
        <f t="shared" si="46"/>
        <v>4.2</v>
      </c>
      <c r="AH145" s="5">
        <f t="shared" si="47"/>
        <v>0.2</v>
      </c>
      <c r="AI145" s="7">
        <v>42</v>
      </c>
      <c r="AJ145" s="7">
        <v>2</v>
      </c>
      <c r="AK145" s="7">
        <v>42</v>
      </c>
      <c r="AL145" s="7">
        <v>2</v>
      </c>
      <c r="AM145" t="s">
        <v>51</v>
      </c>
      <c r="AN145" t="s">
        <v>50</v>
      </c>
      <c r="AO145" s="5">
        <f t="shared" si="48"/>
        <v>32</v>
      </c>
      <c r="AP145" s="5">
        <f t="shared" si="49"/>
        <v>153.94</v>
      </c>
      <c r="AQ145" s="5">
        <v>-1512.02</v>
      </c>
      <c r="AR145" s="8" t="s">
        <v>995</v>
      </c>
      <c r="AS145" t="s">
        <v>996</v>
      </c>
    </row>
    <row r="146" spans="1:45" x14ac:dyDescent="0.35">
      <c r="A146" t="s">
        <v>997</v>
      </c>
      <c r="B146">
        <v>4</v>
      </c>
      <c r="C146">
        <v>48</v>
      </c>
      <c r="D146" t="s">
        <v>981</v>
      </c>
      <c r="E146">
        <v>4</v>
      </c>
      <c r="F146" t="s">
        <v>79</v>
      </c>
      <c r="G146" s="6">
        <v>54</v>
      </c>
      <c r="H146" t="s">
        <v>998</v>
      </c>
      <c r="I146" t="s">
        <v>999</v>
      </c>
      <c r="J146" s="5">
        <f t="shared" si="40"/>
        <v>4.2</v>
      </c>
      <c r="K146" s="5">
        <f t="shared" si="41"/>
        <v>9</v>
      </c>
      <c r="L146" s="5">
        <f t="shared" si="42"/>
        <v>9.6</v>
      </c>
      <c r="M146" s="5">
        <v>0.72</v>
      </c>
      <c r="N146" s="5">
        <f t="shared" si="43"/>
        <v>22.8</v>
      </c>
      <c r="P146"/>
      <c r="Q146" s="7">
        <v>42</v>
      </c>
      <c r="R146" s="7">
        <v>90</v>
      </c>
      <c r="S146" s="7">
        <v>96</v>
      </c>
      <c r="T146" s="7">
        <v>42</v>
      </c>
      <c r="U146" s="7">
        <v>90</v>
      </c>
      <c r="V146" s="7">
        <v>96</v>
      </c>
      <c r="W146" t="s">
        <v>51</v>
      </c>
      <c r="X146" t="s">
        <v>523</v>
      </c>
      <c r="Y146" t="s">
        <v>523</v>
      </c>
      <c r="Z146" t="s">
        <v>852</v>
      </c>
      <c r="AA146" s="5">
        <f t="shared" si="44"/>
        <v>69.12</v>
      </c>
      <c r="AB146" s="5">
        <f t="shared" si="45"/>
        <v>228</v>
      </c>
      <c r="AC146" t="s">
        <v>53</v>
      </c>
      <c r="AD146" t="s">
        <v>984</v>
      </c>
      <c r="AE146" s="8">
        <v>0.99605269870421387</v>
      </c>
      <c r="AF146" t="s">
        <v>962</v>
      </c>
      <c r="AG146" s="5">
        <f t="shared" si="46"/>
        <v>4.5999999999999996</v>
      </c>
      <c r="AH146" s="5">
        <f t="shared" si="47"/>
        <v>0.2</v>
      </c>
      <c r="AI146" s="7">
        <v>46</v>
      </c>
      <c r="AJ146" s="7">
        <v>2</v>
      </c>
      <c r="AK146" s="7">
        <v>46</v>
      </c>
      <c r="AL146" s="7">
        <v>2</v>
      </c>
      <c r="AM146" t="s">
        <v>51</v>
      </c>
      <c r="AN146" t="s">
        <v>50</v>
      </c>
      <c r="AO146" s="5">
        <f t="shared" si="48"/>
        <v>35</v>
      </c>
      <c r="AP146" s="5">
        <f t="shared" si="49"/>
        <v>165.09</v>
      </c>
      <c r="AQ146" s="5">
        <v>-1442.9</v>
      </c>
      <c r="AR146" s="8" t="s">
        <v>1000</v>
      </c>
      <c r="AS146" t="s">
        <v>1001</v>
      </c>
    </row>
    <row r="147" spans="1:45" x14ac:dyDescent="0.35">
      <c r="A147" t="s">
        <v>1002</v>
      </c>
      <c r="B147">
        <v>4</v>
      </c>
      <c r="C147">
        <v>48</v>
      </c>
      <c r="D147" t="s">
        <v>981</v>
      </c>
      <c r="E147">
        <v>5</v>
      </c>
      <c r="F147" t="s">
        <v>47</v>
      </c>
      <c r="G147" s="6">
        <v>28</v>
      </c>
      <c r="H147" t="s">
        <v>1003</v>
      </c>
      <c r="I147" t="s">
        <v>1004</v>
      </c>
      <c r="J147" s="5">
        <f t="shared" si="40"/>
        <v>1.8</v>
      </c>
      <c r="K147" s="5">
        <f t="shared" si="41"/>
        <v>8.1999999999999993</v>
      </c>
      <c r="L147" s="5">
        <f t="shared" si="42"/>
        <v>9</v>
      </c>
      <c r="M147" s="5">
        <v>0.74</v>
      </c>
      <c r="N147" s="5">
        <f t="shared" si="43"/>
        <v>19</v>
      </c>
      <c r="P147"/>
      <c r="Q147" s="7">
        <v>18</v>
      </c>
      <c r="R147" s="7">
        <v>82</v>
      </c>
      <c r="S147" s="7">
        <v>90</v>
      </c>
      <c r="T147" s="7">
        <v>18</v>
      </c>
      <c r="U147" s="7">
        <v>82</v>
      </c>
      <c r="V147" s="7">
        <v>90</v>
      </c>
      <c r="W147" t="s">
        <v>50</v>
      </c>
      <c r="X147" t="s">
        <v>61</v>
      </c>
      <c r="Y147" t="s">
        <v>523</v>
      </c>
      <c r="Z147" t="s">
        <v>852</v>
      </c>
      <c r="AA147" s="5">
        <f t="shared" si="44"/>
        <v>66.599999999999994</v>
      </c>
      <c r="AB147" s="5">
        <f t="shared" si="45"/>
        <v>190</v>
      </c>
      <c r="AC147" t="s">
        <v>53</v>
      </c>
      <c r="AD147" t="s">
        <v>984</v>
      </c>
      <c r="AE147" s="8">
        <v>0.99631415161718195</v>
      </c>
      <c r="AF147" t="s">
        <v>962</v>
      </c>
      <c r="AG147" s="5">
        <f t="shared" si="46"/>
        <v>3</v>
      </c>
      <c r="AH147" s="5">
        <f t="shared" si="47"/>
        <v>0.2</v>
      </c>
      <c r="AI147" s="7">
        <v>30</v>
      </c>
      <c r="AJ147" s="7">
        <v>2</v>
      </c>
      <c r="AK147" s="7">
        <v>30</v>
      </c>
      <c r="AL147" s="7">
        <v>2</v>
      </c>
      <c r="AM147" t="s">
        <v>50</v>
      </c>
      <c r="AN147" t="s">
        <v>50</v>
      </c>
      <c r="AO147" s="5">
        <f t="shared" si="48"/>
        <v>23</v>
      </c>
      <c r="AP147" s="5">
        <f t="shared" si="49"/>
        <v>127.96</v>
      </c>
      <c r="AQ147" s="5">
        <v>-1376.3</v>
      </c>
      <c r="AR147" s="8" t="s">
        <v>1005</v>
      </c>
      <c r="AS147" t="s">
        <v>1006</v>
      </c>
    </row>
    <row r="148" spans="1:45" x14ac:dyDescent="0.35">
      <c r="A148" t="s">
        <v>1007</v>
      </c>
      <c r="B148">
        <v>4</v>
      </c>
      <c r="C148">
        <v>49</v>
      </c>
      <c r="D148" t="s">
        <v>1008</v>
      </c>
      <c r="E148">
        <v>1</v>
      </c>
      <c r="F148" t="s">
        <v>79</v>
      </c>
      <c r="G148" s="6">
        <v>43</v>
      </c>
      <c r="H148" t="s">
        <v>1009</v>
      </c>
      <c r="I148" t="s">
        <v>1010</v>
      </c>
      <c r="J148" s="5">
        <f t="shared" si="40"/>
        <v>1.6</v>
      </c>
      <c r="K148" s="5">
        <f t="shared" si="41"/>
        <v>8</v>
      </c>
      <c r="L148" s="5">
        <f t="shared" si="42"/>
        <v>9</v>
      </c>
      <c r="M148" s="5">
        <v>0.7</v>
      </c>
      <c r="N148" s="5">
        <f t="shared" si="43"/>
        <v>18.600000000000001</v>
      </c>
      <c r="P148"/>
      <c r="Q148" s="7">
        <v>16</v>
      </c>
      <c r="R148" s="7">
        <v>80</v>
      </c>
      <c r="S148" s="7">
        <v>90</v>
      </c>
      <c r="T148" s="7">
        <v>16</v>
      </c>
      <c r="U148" s="7">
        <v>80</v>
      </c>
      <c r="V148" s="7">
        <v>90</v>
      </c>
      <c r="W148" t="s">
        <v>50</v>
      </c>
      <c r="X148" t="s">
        <v>61</v>
      </c>
      <c r="Y148" t="s">
        <v>523</v>
      </c>
      <c r="Z148" t="s">
        <v>852</v>
      </c>
      <c r="AA148" s="5">
        <f t="shared" si="44"/>
        <v>63</v>
      </c>
      <c r="AB148" s="5">
        <f t="shared" si="45"/>
        <v>186</v>
      </c>
      <c r="AC148" t="s">
        <v>53</v>
      </c>
      <c r="AD148" t="s">
        <v>1011</v>
      </c>
      <c r="AE148" s="8">
        <v>0.99654053157841038</v>
      </c>
      <c r="AF148" t="s">
        <v>962</v>
      </c>
      <c r="AG148" s="5">
        <f t="shared" si="46"/>
        <v>4</v>
      </c>
      <c r="AH148" s="5">
        <f t="shared" si="47"/>
        <v>0.2</v>
      </c>
      <c r="AI148" s="7">
        <v>40</v>
      </c>
      <c r="AJ148" s="7">
        <v>2</v>
      </c>
      <c r="AK148" s="7">
        <v>40</v>
      </c>
      <c r="AL148" s="7">
        <v>2</v>
      </c>
      <c r="AM148" t="s">
        <v>51</v>
      </c>
      <c r="AN148" t="s">
        <v>50</v>
      </c>
      <c r="AO148" s="5">
        <f t="shared" si="48"/>
        <v>30.5</v>
      </c>
      <c r="AP148" s="5">
        <f t="shared" si="49"/>
        <v>133.04</v>
      </c>
      <c r="AQ148" s="5">
        <v>-1313.3</v>
      </c>
      <c r="AR148" s="8" t="s">
        <v>1012</v>
      </c>
      <c r="AS148" t="s">
        <v>1013</v>
      </c>
    </row>
    <row r="149" spans="1:45" x14ac:dyDescent="0.35">
      <c r="A149" t="s">
        <v>1014</v>
      </c>
      <c r="B149">
        <v>4</v>
      </c>
      <c r="C149">
        <v>49</v>
      </c>
      <c r="D149" t="s">
        <v>1008</v>
      </c>
      <c r="E149">
        <v>2</v>
      </c>
      <c r="F149" t="s">
        <v>47</v>
      </c>
      <c r="G149" s="6">
        <v>39</v>
      </c>
      <c r="H149" t="s">
        <v>1015</v>
      </c>
      <c r="I149" t="s">
        <v>1016</v>
      </c>
      <c r="J149" s="5">
        <f t="shared" si="40"/>
        <v>1.4</v>
      </c>
      <c r="K149" s="5">
        <f t="shared" si="41"/>
        <v>7.8</v>
      </c>
      <c r="L149" s="5">
        <f t="shared" si="42"/>
        <v>8.8000000000000007</v>
      </c>
      <c r="M149" s="5">
        <v>0.72</v>
      </c>
      <c r="N149" s="5">
        <f t="shared" si="43"/>
        <v>18</v>
      </c>
      <c r="P149"/>
      <c r="Q149" s="7">
        <v>14</v>
      </c>
      <c r="R149" s="7">
        <v>78</v>
      </c>
      <c r="S149" s="7">
        <v>88</v>
      </c>
      <c r="T149" s="7">
        <v>14</v>
      </c>
      <c r="U149" s="7">
        <v>78</v>
      </c>
      <c r="V149" s="7">
        <v>88</v>
      </c>
      <c r="W149" t="s">
        <v>50</v>
      </c>
      <c r="X149" t="s">
        <v>61</v>
      </c>
      <c r="Y149" t="s">
        <v>61</v>
      </c>
      <c r="Z149" t="s">
        <v>852</v>
      </c>
      <c r="AA149" s="5">
        <f t="shared" si="44"/>
        <v>63.36</v>
      </c>
      <c r="AB149" s="5">
        <f t="shared" si="45"/>
        <v>180</v>
      </c>
      <c r="AC149" t="s">
        <v>53</v>
      </c>
      <c r="AD149" t="s">
        <v>1011</v>
      </c>
      <c r="AE149" s="8">
        <v>0.99680198449137847</v>
      </c>
      <c r="AF149" t="s">
        <v>962</v>
      </c>
      <c r="AG149" s="5">
        <f t="shared" si="46"/>
        <v>4.4000000000000004</v>
      </c>
      <c r="AH149" s="5">
        <f t="shared" si="47"/>
        <v>0.2</v>
      </c>
      <c r="AI149" s="7">
        <v>44</v>
      </c>
      <c r="AJ149" s="7">
        <v>2</v>
      </c>
      <c r="AK149" s="7">
        <v>44</v>
      </c>
      <c r="AL149" s="7">
        <v>2</v>
      </c>
      <c r="AM149" t="s">
        <v>51</v>
      </c>
      <c r="AN149" t="s">
        <v>50</v>
      </c>
      <c r="AO149" s="5">
        <f t="shared" si="48"/>
        <v>33.5</v>
      </c>
      <c r="AP149" s="5">
        <f t="shared" si="49"/>
        <v>132.16999999999999</v>
      </c>
      <c r="AQ149" s="5">
        <v>-1249.94</v>
      </c>
      <c r="AR149" s="8" t="s">
        <v>1017</v>
      </c>
      <c r="AS149" t="s">
        <v>1018</v>
      </c>
    </row>
    <row r="150" spans="1:45" x14ac:dyDescent="0.35">
      <c r="A150" t="s">
        <v>1019</v>
      </c>
      <c r="B150">
        <v>4</v>
      </c>
      <c r="C150">
        <v>49</v>
      </c>
      <c r="D150" t="s">
        <v>1008</v>
      </c>
      <c r="E150">
        <v>3</v>
      </c>
      <c r="F150" t="s">
        <v>79</v>
      </c>
      <c r="G150" s="6">
        <v>37</v>
      </c>
      <c r="H150" t="s">
        <v>1020</v>
      </c>
      <c r="I150" t="s">
        <v>1021</v>
      </c>
      <c r="J150" s="5">
        <f t="shared" si="40"/>
        <v>1.8</v>
      </c>
      <c r="K150" s="5">
        <f t="shared" si="41"/>
        <v>8.1999999999999993</v>
      </c>
      <c r="L150" s="5">
        <f t="shared" si="42"/>
        <v>9</v>
      </c>
      <c r="M150" s="5">
        <v>0.74</v>
      </c>
      <c r="N150" s="5">
        <f t="shared" si="43"/>
        <v>19</v>
      </c>
      <c r="P150"/>
      <c r="Q150" s="7">
        <v>18</v>
      </c>
      <c r="R150" s="7">
        <v>82</v>
      </c>
      <c r="S150" s="7">
        <v>90</v>
      </c>
      <c r="T150" s="7">
        <v>18</v>
      </c>
      <c r="U150" s="7">
        <v>82</v>
      </c>
      <c r="V150" s="7">
        <v>90</v>
      </c>
      <c r="W150" t="s">
        <v>50</v>
      </c>
      <c r="X150" t="s">
        <v>61</v>
      </c>
      <c r="Y150" t="s">
        <v>523</v>
      </c>
      <c r="Z150" t="s">
        <v>852</v>
      </c>
      <c r="AA150" s="5">
        <f t="shared" si="44"/>
        <v>66.599999999999994</v>
      </c>
      <c r="AB150" s="5">
        <f t="shared" si="45"/>
        <v>190</v>
      </c>
      <c r="AC150" t="s">
        <v>53</v>
      </c>
      <c r="AD150" t="s">
        <v>1011</v>
      </c>
      <c r="AE150" s="8">
        <v>0.99704430670339761</v>
      </c>
      <c r="AF150" t="s">
        <v>962</v>
      </c>
      <c r="AG150" s="5">
        <f t="shared" si="46"/>
        <v>3.8</v>
      </c>
      <c r="AH150" s="5">
        <f t="shared" si="47"/>
        <v>0.2</v>
      </c>
      <c r="AI150" s="7">
        <v>38</v>
      </c>
      <c r="AJ150" s="7">
        <v>2</v>
      </c>
      <c r="AK150" s="7">
        <v>38</v>
      </c>
      <c r="AL150" s="7">
        <v>2</v>
      </c>
      <c r="AM150" t="s">
        <v>51</v>
      </c>
      <c r="AN150" t="s">
        <v>50</v>
      </c>
      <c r="AO150" s="5">
        <f t="shared" si="48"/>
        <v>29</v>
      </c>
      <c r="AP150" s="5">
        <f t="shared" si="49"/>
        <v>134.08000000000001</v>
      </c>
      <c r="AQ150" s="5">
        <v>-1183.3399999999999</v>
      </c>
      <c r="AR150" s="8" t="s">
        <v>1022</v>
      </c>
      <c r="AS150" t="s">
        <v>1023</v>
      </c>
    </row>
    <row r="151" spans="1:45" x14ac:dyDescent="0.35">
      <c r="A151" t="s">
        <v>1024</v>
      </c>
      <c r="B151">
        <v>4</v>
      </c>
      <c r="C151">
        <v>49</v>
      </c>
      <c r="D151" t="s">
        <v>1008</v>
      </c>
      <c r="E151">
        <v>4</v>
      </c>
      <c r="F151" t="s">
        <v>47</v>
      </c>
      <c r="G151" s="6">
        <v>43</v>
      </c>
      <c r="H151" t="s">
        <v>1025</v>
      </c>
      <c r="I151" t="s">
        <v>1026</v>
      </c>
      <c r="J151" s="5">
        <f t="shared" si="40"/>
        <v>2.2000000000000002</v>
      </c>
      <c r="K151" s="5">
        <f t="shared" si="41"/>
        <v>8.4</v>
      </c>
      <c r="L151" s="5">
        <f t="shared" si="42"/>
        <v>9.1999999999999993</v>
      </c>
      <c r="M151" s="5">
        <v>0.76</v>
      </c>
      <c r="N151" s="5">
        <f t="shared" si="43"/>
        <v>19.8</v>
      </c>
      <c r="P151"/>
      <c r="Q151" s="7">
        <v>22</v>
      </c>
      <c r="R151" s="7">
        <v>84</v>
      </c>
      <c r="S151" s="7">
        <v>92</v>
      </c>
      <c r="T151" s="7">
        <v>22</v>
      </c>
      <c r="U151" s="7">
        <v>84</v>
      </c>
      <c r="V151" s="7">
        <v>92</v>
      </c>
      <c r="W151" t="s">
        <v>50</v>
      </c>
      <c r="X151" t="s">
        <v>61</v>
      </c>
      <c r="Y151" t="s">
        <v>523</v>
      </c>
      <c r="Z151" t="s">
        <v>852</v>
      </c>
      <c r="AA151" s="5">
        <f t="shared" si="44"/>
        <v>69.92</v>
      </c>
      <c r="AB151" s="5">
        <f t="shared" si="45"/>
        <v>198</v>
      </c>
      <c r="AC151" t="s">
        <v>53</v>
      </c>
      <c r="AD151" t="s">
        <v>1011</v>
      </c>
      <c r="AE151" s="8">
        <v>0.99729938271604934</v>
      </c>
      <c r="AF151" t="s">
        <v>962</v>
      </c>
      <c r="AG151" s="5">
        <f t="shared" si="46"/>
        <v>4.2</v>
      </c>
      <c r="AH151" s="5">
        <f t="shared" si="47"/>
        <v>0.2</v>
      </c>
      <c r="AI151" s="7">
        <v>42</v>
      </c>
      <c r="AJ151" s="7">
        <v>2</v>
      </c>
      <c r="AK151" s="7">
        <v>42</v>
      </c>
      <c r="AL151" s="7">
        <v>2</v>
      </c>
      <c r="AM151" t="s">
        <v>51</v>
      </c>
      <c r="AN151" t="s">
        <v>50</v>
      </c>
      <c r="AO151" s="5">
        <f t="shared" si="48"/>
        <v>32</v>
      </c>
      <c r="AP151" s="5">
        <f t="shared" si="49"/>
        <v>142.31</v>
      </c>
      <c r="AQ151" s="5">
        <v>-1113.42</v>
      </c>
      <c r="AR151" s="8" t="s">
        <v>1027</v>
      </c>
      <c r="AS151" t="s">
        <v>1028</v>
      </c>
    </row>
    <row r="152" spans="1:45" x14ac:dyDescent="0.35">
      <c r="A152" t="s">
        <v>1029</v>
      </c>
      <c r="B152">
        <v>4</v>
      </c>
      <c r="C152">
        <v>49</v>
      </c>
      <c r="D152" t="s">
        <v>1008</v>
      </c>
      <c r="E152">
        <v>5</v>
      </c>
      <c r="F152" t="s">
        <v>79</v>
      </c>
      <c r="G152" s="6">
        <v>44</v>
      </c>
      <c r="H152" t="s">
        <v>1030</v>
      </c>
      <c r="I152" t="s">
        <v>1031</v>
      </c>
      <c r="J152" s="5">
        <f t="shared" si="40"/>
        <v>2.6</v>
      </c>
      <c r="K152" s="5">
        <f t="shared" si="41"/>
        <v>8.6</v>
      </c>
      <c r="L152" s="5">
        <f t="shared" si="42"/>
        <v>9.4</v>
      </c>
      <c r="M152" s="5">
        <v>0.78</v>
      </c>
      <c r="N152" s="5">
        <f t="shared" si="43"/>
        <v>20.6</v>
      </c>
      <c r="P152"/>
      <c r="Q152" s="7">
        <v>26</v>
      </c>
      <c r="R152" s="7">
        <v>86</v>
      </c>
      <c r="S152" s="7">
        <v>94</v>
      </c>
      <c r="T152" s="7">
        <v>26</v>
      </c>
      <c r="U152" s="7">
        <v>86</v>
      </c>
      <c r="V152" s="7">
        <v>94</v>
      </c>
      <c r="W152" t="s">
        <v>50</v>
      </c>
      <c r="X152" t="s">
        <v>61</v>
      </c>
      <c r="Y152" t="s">
        <v>523</v>
      </c>
      <c r="Z152" t="s">
        <v>852</v>
      </c>
      <c r="AA152" s="5">
        <f t="shared" si="44"/>
        <v>73.319999999999993</v>
      </c>
      <c r="AB152" s="5">
        <f t="shared" si="45"/>
        <v>206</v>
      </c>
      <c r="AC152" t="s">
        <v>53</v>
      </c>
      <c r="AD152" t="s">
        <v>1011</v>
      </c>
      <c r="AE152" s="8">
        <v>0.99757677787980814</v>
      </c>
      <c r="AF152" t="s">
        <v>962</v>
      </c>
      <c r="AG152" s="5">
        <f t="shared" si="46"/>
        <v>4.5999999999999996</v>
      </c>
      <c r="AH152" s="5">
        <f t="shared" si="47"/>
        <v>0.2</v>
      </c>
      <c r="AI152" s="7">
        <v>46</v>
      </c>
      <c r="AJ152" s="7">
        <v>2</v>
      </c>
      <c r="AK152" s="7">
        <v>46</v>
      </c>
      <c r="AL152" s="7">
        <v>2</v>
      </c>
      <c r="AM152" t="s">
        <v>51</v>
      </c>
      <c r="AN152" t="s">
        <v>50</v>
      </c>
      <c r="AO152" s="5">
        <f t="shared" si="48"/>
        <v>35</v>
      </c>
      <c r="AP152" s="5">
        <f t="shared" si="49"/>
        <v>150.68</v>
      </c>
      <c r="AQ152" s="5">
        <v>-1040.0999999999999</v>
      </c>
      <c r="AR152" s="8" t="s">
        <v>1032</v>
      </c>
      <c r="AS152" t="s">
        <v>1033</v>
      </c>
    </row>
    <row r="153" spans="1:45" x14ac:dyDescent="0.35">
      <c r="A153" t="s">
        <v>1034</v>
      </c>
      <c r="B153">
        <v>4</v>
      </c>
      <c r="C153">
        <v>50</v>
      </c>
      <c r="D153" t="s">
        <v>1035</v>
      </c>
      <c r="E153">
        <v>1</v>
      </c>
      <c r="F153" t="s">
        <v>47</v>
      </c>
      <c r="G153" s="6">
        <v>42</v>
      </c>
      <c r="H153" t="s">
        <v>1036</v>
      </c>
      <c r="I153" t="s">
        <v>1037</v>
      </c>
      <c r="J153" s="5">
        <f t="shared" si="40"/>
        <v>7.2</v>
      </c>
      <c r="K153" s="5">
        <f t="shared" si="41"/>
        <v>8.8000000000000007</v>
      </c>
      <c r="L153" s="5">
        <f t="shared" si="42"/>
        <v>9.4</v>
      </c>
      <c r="M153" s="5">
        <v>0.72</v>
      </c>
      <c r="N153" s="5">
        <f t="shared" si="43"/>
        <v>25.4</v>
      </c>
      <c r="P153"/>
      <c r="Q153" s="7">
        <v>72</v>
      </c>
      <c r="R153" s="7">
        <v>88</v>
      </c>
      <c r="S153" s="7">
        <v>94</v>
      </c>
      <c r="T153" s="7">
        <v>72</v>
      </c>
      <c r="U153" s="7">
        <v>88</v>
      </c>
      <c r="V153" s="7">
        <v>94</v>
      </c>
      <c r="W153" t="s">
        <v>61</v>
      </c>
      <c r="X153" t="s">
        <v>61</v>
      </c>
      <c r="Y153" t="s">
        <v>523</v>
      </c>
      <c r="Z153" t="s">
        <v>852</v>
      </c>
      <c r="AA153" s="5">
        <f t="shared" si="44"/>
        <v>67.680000000000007</v>
      </c>
      <c r="AB153" s="5">
        <f t="shared" si="45"/>
        <v>254</v>
      </c>
      <c r="AC153" t="s">
        <v>53</v>
      </c>
      <c r="AD153" t="s">
        <v>1038</v>
      </c>
      <c r="AE153" s="8">
        <v>0.99785098459340882</v>
      </c>
      <c r="AF153" t="s">
        <v>962</v>
      </c>
      <c r="AG153" s="5">
        <f t="shared" si="46"/>
        <v>3.4</v>
      </c>
      <c r="AH153" s="5">
        <f t="shared" si="47"/>
        <v>0.2</v>
      </c>
      <c r="AI153" s="7">
        <v>34</v>
      </c>
      <c r="AJ153" s="7">
        <v>2</v>
      </c>
      <c r="AK153" s="7">
        <v>34</v>
      </c>
      <c r="AL153" s="7">
        <v>2</v>
      </c>
      <c r="AM153" t="s">
        <v>51</v>
      </c>
      <c r="AN153" t="s">
        <v>50</v>
      </c>
      <c r="AO153" s="5">
        <f t="shared" si="48"/>
        <v>26</v>
      </c>
      <c r="AP153" s="5">
        <f t="shared" si="49"/>
        <v>171.21</v>
      </c>
      <c r="AQ153" s="5">
        <v>-972.42</v>
      </c>
      <c r="AR153" s="8" t="s">
        <v>1039</v>
      </c>
      <c r="AS153" t="s">
        <v>1040</v>
      </c>
    </row>
    <row r="154" spans="1:45" x14ac:dyDescent="0.35">
      <c r="A154" t="s">
        <v>1041</v>
      </c>
      <c r="B154">
        <v>4</v>
      </c>
      <c r="C154">
        <v>50</v>
      </c>
      <c r="D154" t="s">
        <v>1035</v>
      </c>
      <c r="E154">
        <v>2</v>
      </c>
      <c r="F154" t="s">
        <v>79</v>
      </c>
      <c r="G154" s="6">
        <v>39</v>
      </c>
      <c r="H154" t="s">
        <v>1042</v>
      </c>
      <c r="I154" t="s">
        <v>1043</v>
      </c>
      <c r="J154" s="5">
        <f t="shared" si="40"/>
        <v>8.4</v>
      </c>
      <c r="K154" s="5">
        <f t="shared" si="41"/>
        <v>9</v>
      </c>
      <c r="L154" s="5">
        <f t="shared" si="42"/>
        <v>9.6</v>
      </c>
      <c r="M154" s="5">
        <v>0.7</v>
      </c>
      <c r="N154" s="5">
        <f t="shared" si="43"/>
        <v>27</v>
      </c>
      <c r="P154"/>
      <c r="Q154" s="7">
        <v>84</v>
      </c>
      <c r="R154" s="7">
        <v>90</v>
      </c>
      <c r="S154" s="7">
        <v>96</v>
      </c>
      <c r="T154" s="7">
        <v>84</v>
      </c>
      <c r="U154" s="7">
        <v>90</v>
      </c>
      <c r="V154" s="7">
        <v>96</v>
      </c>
      <c r="W154" t="s">
        <v>61</v>
      </c>
      <c r="X154" t="s">
        <v>523</v>
      </c>
      <c r="Y154" t="s">
        <v>523</v>
      </c>
      <c r="Z154" t="s">
        <v>852</v>
      </c>
      <c r="AA154" s="5">
        <f t="shared" si="44"/>
        <v>67.2</v>
      </c>
      <c r="AB154" s="5">
        <f t="shared" si="45"/>
        <v>270</v>
      </c>
      <c r="AC154" t="s">
        <v>53</v>
      </c>
      <c r="AD154" t="s">
        <v>1038</v>
      </c>
      <c r="AE154" s="8">
        <v>0.99810924905621878</v>
      </c>
      <c r="AF154" t="s">
        <v>962</v>
      </c>
      <c r="AG154" s="5">
        <f t="shared" si="46"/>
        <v>3</v>
      </c>
      <c r="AH154" s="5">
        <f t="shared" si="47"/>
        <v>0.2</v>
      </c>
      <c r="AI154" s="7">
        <v>30</v>
      </c>
      <c r="AJ154" s="7">
        <v>2</v>
      </c>
      <c r="AK154" s="7">
        <v>30</v>
      </c>
      <c r="AL154" s="7">
        <v>2</v>
      </c>
      <c r="AM154" t="s">
        <v>50</v>
      </c>
      <c r="AN154" t="s">
        <v>50</v>
      </c>
      <c r="AO154" s="5">
        <f t="shared" si="48"/>
        <v>23</v>
      </c>
      <c r="AP154" s="5">
        <f t="shared" si="49"/>
        <v>177.48</v>
      </c>
      <c r="AQ154" s="5">
        <v>-905.22</v>
      </c>
      <c r="AR154" s="8" t="s">
        <v>1044</v>
      </c>
      <c r="AS154" t="s">
        <v>1045</v>
      </c>
    </row>
    <row r="155" spans="1:45" x14ac:dyDescent="0.35">
      <c r="A155" t="s">
        <v>1046</v>
      </c>
      <c r="B155">
        <v>4</v>
      </c>
      <c r="C155">
        <v>50</v>
      </c>
      <c r="D155" t="s">
        <v>1035</v>
      </c>
      <c r="E155">
        <v>3</v>
      </c>
      <c r="F155" t="s">
        <v>47</v>
      </c>
      <c r="G155" s="6">
        <v>47</v>
      </c>
      <c r="H155" t="s">
        <v>1036</v>
      </c>
      <c r="I155" t="s">
        <v>1047</v>
      </c>
      <c r="J155" s="5">
        <f t="shared" si="40"/>
        <v>7.6</v>
      </c>
      <c r="K155" s="5">
        <f t="shared" si="41"/>
        <v>9.4</v>
      </c>
      <c r="L155" s="5">
        <f t="shared" si="42"/>
        <v>9.8000000000000007</v>
      </c>
      <c r="M155" s="5">
        <v>0.74</v>
      </c>
      <c r="N155" s="5">
        <f t="shared" si="43"/>
        <v>26.8</v>
      </c>
      <c r="P155"/>
      <c r="Q155" s="7">
        <v>76</v>
      </c>
      <c r="R155" s="7">
        <v>94</v>
      </c>
      <c r="S155" s="7">
        <v>98</v>
      </c>
      <c r="T155" s="7">
        <v>76</v>
      </c>
      <c r="U155" s="7">
        <v>94</v>
      </c>
      <c r="V155" s="7">
        <v>98</v>
      </c>
      <c r="W155" t="s">
        <v>61</v>
      </c>
      <c r="X155" t="s">
        <v>523</v>
      </c>
      <c r="Y155" t="s">
        <v>523</v>
      </c>
      <c r="Z155" t="s">
        <v>852</v>
      </c>
      <c r="AA155" s="5">
        <f t="shared" si="44"/>
        <v>72.52</v>
      </c>
      <c r="AB155" s="5">
        <f t="shared" si="45"/>
        <v>268</v>
      </c>
      <c r="AC155" t="s">
        <v>53</v>
      </c>
      <c r="AD155" t="s">
        <v>1038</v>
      </c>
      <c r="AE155" s="8">
        <v>0.99838345576981946</v>
      </c>
      <c r="AF155" t="s">
        <v>962</v>
      </c>
      <c r="AG155" s="5">
        <f t="shared" si="46"/>
        <v>4</v>
      </c>
      <c r="AH155" s="5">
        <f t="shared" si="47"/>
        <v>0.2</v>
      </c>
      <c r="AI155" s="7">
        <v>40</v>
      </c>
      <c r="AJ155" s="7">
        <v>2</v>
      </c>
      <c r="AK155" s="7">
        <v>40</v>
      </c>
      <c r="AL155" s="7">
        <v>2</v>
      </c>
      <c r="AM155" t="s">
        <v>51</v>
      </c>
      <c r="AN155" t="s">
        <v>50</v>
      </c>
      <c r="AO155" s="5">
        <f t="shared" si="48"/>
        <v>30.5</v>
      </c>
      <c r="AP155" s="5">
        <f t="shared" si="49"/>
        <v>185.65</v>
      </c>
      <c r="AQ155" s="5">
        <v>-832.7</v>
      </c>
      <c r="AR155" s="8" t="s">
        <v>1048</v>
      </c>
      <c r="AS155" t="s">
        <v>1049</v>
      </c>
    </row>
    <row r="156" spans="1:45" x14ac:dyDescent="0.35">
      <c r="A156" t="s">
        <v>1050</v>
      </c>
      <c r="B156">
        <v>4</v>
      </c>
      <c r="C156">
        <v>50</v>
      </c>
      <c r="D156" t="s">
        <v>1035</v>
      </c>
      <c r="E156">
        <v>4</v>
      </c>
      <c r="F156" t="s">
        <v>79</v>
      </c>
      <c r="G156" s="6">
        <v>43</v>
      </c>
      <c r="H156" t="s">
        <v>1042</v>
      </c>
      <c r="I156" t="s">
        <v>1051</v>
      </c>
      <c r="J156" s="5">
        <f t="shared" si="40"/>
        <v>7</v>
      </c>
      <c r="K156" s="5">
        <f t="shared" si="41"/>
        <v>9.1999999999999993</v>
      </c>
      <c r="L156" s="5">
        <f t="shared" si="42"/>
        <v>9.6999999999999993</v>
      </c>
      <c r="M156" s="5">
        <v>0.78</v>
      </c>
      <c r="N156" s="5">
        <f t="shared" si="43"/>
        <v>25.9</v>
      </c>
      <c r="P156"/>
      <c r="Q156" s="7">
        <v>70</v>
      </c>
      <c r="R156" s="7">
        <v>92</v>
      </c>
      <c r="S156" s="7">
        <v>97</v>
      </c>
      <c r="T156" s="7">
        <v>70</v>
      </c>
      <c r="U156" s="7">
        <v>92</v>
      </c>
      <c r="V156" s="7">
        <v>97</v>
      </c>
      <c r="W156" t="s">
        <v>61</v>
      </c>
      <c r="X156" t="s">
        <v>523</v>
      </c>
      <c r="Y156" t="s">
        <v>523</v>
      </c>
      <c r="Z156" t="s">
        <v>852</v>
      </c>
      <c r="AA156" s="5">
        <f t="shared" si="44"/>
        <v>75.66</v>
      </c>
      <c r="AB156" s="5">
        <f t="shared" si="45"/>
        <v>259</v>
      </c>
      <c r="AC156" t="s">
        <v>53</v>
      </c>
      <c r="AD156" t="s">
        <v>1038</v>
      </c>
      <c r="AE156" s="8">
        <v>0.99867041628405262</v>
      </c>
      <c r="AF156" t="s">
        <v>962</v>
      </c>
      <c r="AG156" s="5">
        <f t="shared" si="46"/>
        <v>4.8</v>
      </c>
      <c r="AH156" s="5">
        <f t="shared" si="47"/>
        <v>0.2</v>
      </c>
      <c r="AI156" s="7">
        <v>48</v>
      </c>
      <c r="AJ156" s="7">
        <v>2</v>
      </c>
      <c r="AK156" s="7">
        <v>48</v>
      </c>
      <c r="AL156" s="7">
        <v>2</v>
      </c>
      <c r="AM156" t="s">
        <v>51</v>
      </c>
      <c r="AN156" t="s">
        <v>50</v>
      </c>
      <c r="AO156" s="5">
        <f t="shared" si="48"/>
        <v>36.5</v>
      </c>
      <c r="AP156" s="5">
        <f t="shared" si="49"/>
        <v>187.24</v>
      </c>
      <c r="AQ156" s="5">
        <v>-757.04000000000008</v>
      </c>
      <c r="AR156" s="8" t="s">
        <v>1052</v>
      </c>
      <c r="AS156" t="s">
        <v>1053</v>
      </c>
    </row>
    <row r="157" spans="1:45" x14ac:dyDescent="0.35">
      <c r="A157" t="s">
        <v>1054</v>
      </c>
      <c r="B157">
        <v>4</v>
      </c>
      <c r="C157">
        <v>51</v>
      </c>
      <c r="D157" t="s">
        <v>1055</v>
      </c>
      <c r="E157">
        <v>1</v>
      </c>
      <c r="F157" t="s">
        <v>79</v>
      </c>
      <c r="G157" s="6">
        <v>41</v>
      </c>
      <c r="H157" t="s">
        <v>1056</v>
      </c>
      <c r="I157" t="s">
        <v>1057</v>
      </c>
      <c r="J157" s="5">
        <f t="shared" si="40"/>
        <v>7.8</v>
      </c>
      <c r="K157" s="5">
        <f t="shared" si="41"/>
        <v>9.6</v>
      </c>
      <c r="L157" s="5">
        <f t="shared" si="42"/>
        <v>9.9</v>
      </c>
      <c r="M157" s="5">
        <v>0.82</v>
      </c>
      <c r="N157" s="5">
        <f t="shared" si="43"/>
        <v>27.3</v>
      </c>
      <c r="P157"/>
      <c r="Q157" s="7">
        <v>78</v>
      </c>
      <c r="R157" s="7">
        <v>96</v>
      </c>
      <c r="S157" s="7">
        <v>99</v>
      </c>
      <c r="T157" s="7">
        <v>78</v>
      </c>
      <c r="U157" s="7">
        <v>96</v>
      </c>
      <c r="V157" s="7">
        <v>99</v>
      </c>
      <c r="W157" t="s">
        <v>61</v>
      </c>
      <c r="X157" t="s">
        <v>523</v>
      </c>
      <c r="Y157" t="s">
        <v>523</v>
      </c>
      <c r="Z157" t="s">
        <v>852</v>
      </c>
      <c r="AA157" s="5">
        <f t="shared" si="44"/>
        <v>81.180000000000007</v>
      </c>
      <c r="AB157" s="5">
        <f t="shared" si="45"/>
        <v>273</v>
      </c>
      <c r="AC157" t="s">
        <v>53</v>
      </c>
      <c r="AD157" t="s">
        <v>1058</v>
      </c>
      <c r="AE157" s="8">
        <v>0.99893824609733706</v>
      </c>
      <c r="AF157" t="s">
        <v>962</v>
      </c>
      <c r="AG157" s="5">
        <f t="shared" si="46"/>
        <v>4.2</v>
      </c>
      <c r="AH157" s="5">
        <f t="shared" si="47"/>
        <v>0.2</v>
      </c>
      <c r="AI157" s="7">
        <v>42</v>
      </c>
      <c r="AJ157" s="7">
        <v>2</v>
      </c>
      <c r="AK157" s="7">
        <v>42</v>
      </c>
      <c r="AL157" s="7">
        <v>2</v>
      </c>
      <c r="AM157" t="s">
        <v>51</v>
      </c>
      <c r="AN157" t="s">
        <v>50</v>
      </c>
      <c r="AO157" s="5">
        <f t="shared" si="48"/>
        <v>32</v>
      </c>
      <c r="AP157" s="5">
        <f t="shared" si="49"/>
        <v>190.76</v>
      </c>
      <c r="AQ157" s="5">
        <v>-675.86000000000013</v>
      </c>
      <c r="AR157" s="8" t="s">
        <v>1059</v>
      </c>
      <c r="AS157" t="s">
        <v>1060</v>
      </c>
    </row>
    <row r="158" spans="1:45" x14ac:dyDescent="0.35">
      <c r="A158" t="s">
        <v>1061</v>
      </c>
      <c r="B158">
        <v>4</v>
      </c>
      <c r="C158">
        <v>51</v>
      </c>
      <c r="D158" t="s">
        <v>1055</v>
      </c>
      <c r="E158">
        <v>2</v>
      </c>
      <c r="F158" t="s">
        <v>79</v>
      </c>
      <c r="G158" s="6">
        <v>39</v>
      </c>
      <c r="H158" t="s">
        <v>1062</v>
      </c>
      <c r="I158" t="s">
        <v>1063</v>
      </c>
      <c r="J158" s="5">
        <f t="shared" si="40"/>
        <v>5.6</v>
      </c>
      <c r="K158" s="5">
        <f t="shared" si="41"/>
        <v>9.1999999999999993</v>
      </c>
      <c r="L158" s="5">
        <f t="shared" si="42"/>
        <v>9.6</v>
      </c>
      <c r="M158" s="5">
        <v>0.84</v>
      </c>
      <c r="N158" s="5">
        <f t="shared" si="43"/>
        <v>24.4</v>
      </c>
      <c r="P158"/>
      <c r="Q158" s="7">
        <v>56</v>
      </c>
      <c r="R158" s="7">
        <v>92</v>
      </c>
      <c r="S158" s="7">
        <v>96</v>
      </c>
      <c r="T158" s="7">
        <v>56</v>
      </c>
      <c r="U158" s="7">
        <v>92</v>
      </c>
      <c r="V158" s="7">
        <v>96</v>
      </c>
      <c r="W158" t="s">
        <v>51</v>
      </c>
      <c r="X158" t="s">
        <v>523</v>
      </c>
      <c r="Y158" t="s">
        <v>523</v>
      </c>
      <c r="Z158" t="s">
        <v>852</v>
      </c>
      <c r="AA158" s="5">
        <f t="shared" si="44"/>
        <v>80.64</v>
      </c>
      <c r="AB158" s="5">
        <f t="shared" si="45"/>
        <v>244</v>
      </c>
      <c r="AC158" t="s">
        <v>53</v>
      </c>
      <c r="AD158" t="s">
        <v>1058</v>
      </c>
      <c r="AE158" s="8">
        <v>0.99919332210998879</v>
      </c>
      <c r="AF158" t="s">
        <v>962</v>
      </c>
      <c r="AG158" s="5">
        <f t="shared" si="46"/>
        <v>5.2</v>
      </c>
      <c r="AH158" s="5">
        <f t="shared" si="47"/>
        <v>0.2</v>
      </c>
      <c r="AI158" s="7">
        <v>52</v>
      </c>
      <c r="AJ158" s="7">
        <v>2</v>
      </c>
      <c r="AK158" s="7">
        <v>52</v>
      </c>
      <c r="AL158" s="7">
        <v>2</v>
      </c>
      <c r="AM158" t="s">
        <v>51</v>
      </c>
      <c r="AN158" t="s">
        <v>50</v>
      </c>
      <c r="AO158" s="5">
        <f t="shared" si="48"/>
        <v>39.5</v>
      </c>
      <c r="AP158" s="5">
        <f t="shared" si="49"/>
        <v>180.89</v>
      </c>
      <c r="AQ158" s="5">
        <v>-595.22000000000014</v>
      </c>
      <c r="AR158" s="8" t="s">
        <v>1064</v>
      </c>
      <c r="AS158" t="s">
        <v>1065</v>
      </c>
    </row>
    <row r="159" spans="1:45" x14ac:dyDescent="0.35">
      <c r="A159" t="s">
        <v>1066</v>
      </c>
      <c r="B159">
        <v>4</v>
      </c>
      <c r="C159">
        <v>51</v>
      </c>
      <c r="D159" t="s">
        <v>1055</v>
      </c>
      <c r="E159">
        <v>3</v>
      </c>
      <c r="F159" t="s">
        <v>79</v>
      </c>
      <c r="G159" s="6">
        <v>46</v>
      </c>
      <c r="H159" t="s">
        <v>1067</v>
      </c>
      <c r="I159" t="s">
        <v>1068</v>
      </c>
      <c r="J159" s="5">
        <f t="shared" si="40"/>
        <v>8.1999999999999993</v>
      </c>
      <c r="K159" s="5">
        <f t="shared" si="41"/>
        <v>9.8000000000000007</v>
      </c>
      <c r="L159" s="5">
        <f t="shared" si="42"/>
        <v>10</v>
      </c>
      <c r="M159" s="5">
        <v>0.92</v>
      </c>
      <c r="N159" s="5">
        <f t="shared" si="43"/>
        <v>28</v>
      </c>
      <c r="P159"/>
      <c r="Q159" s="7">
        <v>82</v>
      </c>
      <c r="R159" s="7">
        <v>98</v>
      </c>
      <c r="S159" s="7">
        <v>100</v>
      </c>
      <c r="T159" s="7">
        <v>82</v>
      </c>
      <c r="U159" s="7">
        <v>98</v>
      </c>
      <c r="V159" s="7">
        <v>100</v>
      </c>
      <c r="W159" t="s">
        <v>61</v>
      </c>
      <c r="X159" t="s">
        <v>523</v>
      </c>
      <c r="Y159" t="s">
        <v>523</v>
      </c>
      <c r="Z159" t="s">
        <v>852</v>
      </c>
      <c r="AA159" s="5">
        <f t="shared" si="44"/>
        <v>92</v>
      </c>
      <c r="AB159" s="5">
        <f t="shared" si="45"/>
        <v>280</v>
      </c>
      <c r="AC159" t="s">
        <v>53</v>
      </c>
      <c r="AD159" t="s">
        <v>1058</v>
      </c>
      <c r="AE159" s="8">
        <v>0.99946434037343124</v>
      </c>
      <c r="AF159" t="s">
        <v>962</v>
      </c>
      <c r="AG159" s="5">
        <f t="shared" si="46"/>
        <v>5.8</v>
      </c>
      <c r="AH159" s="5">
        <f t="shared" si="47"/>
        <v>0.2</v>
      </c>
      <c r="AI159" s="7">
        <v>58</v>
      </c>
      <c r="AJ159" s="7">
        <v>2</v>
      </c>
      <c r="AK159" s="7">
        <v>58</v>
      </c>
      <c r="AL159" s="7">
        <v>2</v>
      </c>
      <c r="AM159" t="s">
        <v>51</v>
      </c>
      <c r="AN159" t="s">
        <v>50</v>
      </c>
      <c r="AO159" s="5">
        <f t="shared" si="48"/>
        <v>44</v>
      </c>
      <c r="AP159" s="5">
        <f t="shared" si="49"/>
        <v>210.76</v>
      </c>
      <c r="AQ159" s="5">
        <v>-503.22000000000008</v>
      </c>
      <c r="AR159" s="8" t="s">
        <v>1069</v>
      </c>
      <c r="AS159" t="s">
        <v>1070</v>
      </c>
    </row>
    <row r="160" spans="1:45" x14ac:dyDescent="0.35">
      <c r="A160" t="s">
        <v>1071</v>
      </c>
      <c r="B160">
        <v>5</v>
      </c>
      <c r="C160">
        <v>52</v>
      </c>
      <c r="D160" t="s">
        <v>1072</v>
      </c>
      <c r="E160">
        <v>1</v>
      </c>
      <c r="F160" t="s">
        <v>47</v>
      </c>
      <c r="G160" s="6">
        <v>19</v>
      </c>
      <c r="H160" t="s">
        <v>1073</v>
      </c>
      <c r="I160" t="s">
        <v>1074</v>
      </c>
      <c r="J160" s="5">
        <f t="shared" si="40"/>
        <v>1.2</v>
      </c>
      <c r="K160" s="5">
        <f t="shared" si="41"/>
        <v>8.4</v>
      </c>
      <c r="L160" s="5">
        <f t="shared" si="42"/>
        <v>9.8000000000000007</v>
      </c>
      <c r="M160" s="5">
        <v>0.96</v>
      </c>
      <c r="N160" s="5">
        <f t="shared" si="43"/>
        <v>19.399999999999999</v>
      </c>
      <c r="P160"/>
      <c r="Q160" s="7">
        <v>12</v>
      </c>
      <c r="R160" s="7">
        <v>84</v>
      </c>
      <c r="S160" s="7">
        <v>98</v>
      </c>
      <c r="T160" s="7">
        <v>12</v>
      </c>
      <c r="U160" s="7">
        <v>84</v>
      </c>
      <c r="V160" s="7">
        <v>98</v>
      </c>
      <c r="W160" t="s">
        <v>50</v>
      </c>
      <c r="X160" t="s">
        <v>61</v>
      </c>
      <c r="Y160" t="s">
        <v>523</v>
      </c>
      <c r="Z160" t="s">
        <v>852</v>
      </c>
      <c r="AA160" s="5">
        <f t="shared" si="44"/>
        <v>94.08</v>
      </c>
      <c r="AB160" s="5">
        <f t="shared" si="45"/>
        <v>194</v>
      </c>
      <c r="AC160" t="s">
        <v>53</v>
      </c>
      <c r="AD160" t="s">
        <v>1075</v>
      </c>
      <c r="AE160" s="8">
        <v>0.99967158963371083</v>
      </c>
      <c r="AF160" t="s">
        <v>962</v>
      </c>
      <c r="AG160" s="5">
        <f t="shared" si="46"/>
        <v>8.1999999999999993</v>
      </c>
      <c r="AH160" s="5">
        <f t="shared" si="47"/>
        <v>1</v>
      </c>
      <c r="AI160" s="7">
        <v>82</v>
      </c>
      <c r="AJ160" s="7">
        <v>10</v>
      </c>
      <c r="AK160" s="7">
        <v>82</v>
      </c>
      <c r="AL160" s="7">
        <v>10</v>
      </c>
      <c r="AM160" t="s">
        <v>61</v>
      </c>
      <c r="AN160" t="s">
        <v>50</v>
      </c>
      <c r="AO160" s="5">
        <f t="shared" si="48"/>
        <v>64</v>
      </c>
      <c r="AP160" s="5">
        <f t="shared" si="49"/>
        <v>172.75</v>
      </c>
      <c r="AQ160" s="5">
        <v>-409.14000000000021</v>
      </c>
      <c r="AR160" s="8" t="s">
        <v>1076</v>
      </c>
      <c r="AS160" t="s">
        <v>1077</v>
      </c>
    </row>
    <row r="161" spans="1:45" x14ac:dyDescent="0.35">
      <c r="A161" t="s">
        <v>1078</v>
      </c>
      <c r="B161">
        <v>5</v>
      </c>
      <c r="C161">
        <v>53</v>
      </c>
      <c r="D161" t="s">
        <v>1079</v>
      </c>
      <c r="E161">
        <v>1</v>
      </c>
      <c r="F161" t="s">
        <v>1080</v>
      </c>
      <c r="G161" s="6">
        <v>42</v>
      </c>
      <c r="H161" t="s">
        <v>1081</v>
      </c>
      <c r="I161" t="s">
        <v>1082</v>
      </c>
      <c r="J161" s="5">
        <f t="shared" si="40"/>
        <v>0.8</v>
      </c>
      <c r="K161" s="5">
        <f t="shared" si="41"/>
        <v>7.8</v>
      </c>
      <c r="L161" s="5">
        <f t="shared" si="42"/>
        <v>9.4</v>
      </c>
      <c r="M161" s="5">
        <v>0.98</v>
      </c>
      <c r="N161" s="5">
        <f t="shared" si="43"/>
        <v>18</v>
      </c>
      <c r="P161"/>
      <c r="Q161" s="7">
        <v>8</v>
      </c>
      <c r="R161" s="7">
        <v>78</v>
      </c>
      <c r="S161" s="7">
        <v>94</v>
      </c>
      <c r="T161" s="7">
        <v>8</v>
      </c>
      <c r="U161" s="7">
        <v>78</v>
      </c>
      <c r="V161" s="7">
        <v>94</v>
      </c>
      <c r="W161" t="s">
        <v>50</v>
      </c>
      <c r="X161" t="s">
        <v>61</v>
      </c>
      <c r="Y161" t="s">
        <v>523</v>
      </c>
      <c r="Z161" t="s">
        <v>852</v>
      </c>
      <c r="AA161" s="5">
        <f t="shared" si="44"/>
        <v>92.12</v>
      </c>
      <c r="AB161" s="5">
        <f t="shared" si="45"/>
        <v>180</v>
      </c>
      <c r="AC161" t="s">
        <v>53</v>
      </c>
      <c r="AD161" t="s">
        <v>1083</v>
      </c>
      <c r="AE161" s="8">
        <v>0.99986608509335784</v>
      </c>
      <c r="AF161" t="s">
        <v>962</v>
      </c>
      <c r="AG161" s="5">
        <f t="shared" si="46"/>
        <v>8.6</v>
      </c>
      <c r="AH161" s="5">
        <f t="shared" si="47"/>
        <v>0.8</v>
      </c>
      <c r="AI161" s="7">
        <v>86</v>
      </c>
      <c r="AJ161" s="7">
        <v>8</v>
      </c>
      <c r="AK161" s="7">
        <v>86</v>
      </c>
      <c r="AL161" s="7">
        <v>8</v>
      </c>
      <c r="AM161" t="s">
        <v>61</v>
      </c>
      <c r="AN161" t="s">
        <v>50</v>
      </c>
      <c r="AO161" s="5">
        <f t="shared" si="48"/>
        <v>66.5</v>
      </c>
      <c r="AP161" s="5">
        <f t="shared" si="49"/>
        <v>164.84</v>
      </c>
      <c r="AQ161" s="5">
        <v>-317.02000000000021</v>
      </c>
      <c r="AR161" s="8" t="s">
        <v>1084</v>
      </c>
      <c r="AS161" t="s">
        <v>1085</v>
      </c>
    </row>
  </sheetData>
  <autoFilter ref="A1:AS161" xr:uid="{00000000-0009-0000-0000-000000000000}"/>
  <conditionalFormatting sqref="J1:J1048576">
    <cfRule type="colorScale" priority="3">
      <colorScale>
        <cfvo type="min"/>
        <cfvo type="max"/>
        <color rgb="FFFCFCFF"/>
        <color rgb="FFFF0000"/>
      </colorScale>
    </cfRule>
  </conditionalFormatting>
  <conditionalFormatting sqref="K1:K1048576">
    <cfRule type="colorScale" priority="2">
      <colorScale>
        <cfvo type="min"/>
        <cfvo type="max"/>
        <color rgb="FFFCFCFF"/>
        <color rgb="FF00B0F0"/>
      </colorScale>
    </cfRule>
  </conditionalFormatting>
  <conditionalFormatting sqref="L1:L1048576">
    <cfRule type="colorScale" priority="1">
      <colorScale>
        <cfvo type="min"/>
        <cfvo type="max"/>
        <color rgb="FFFCFCFF"/>
        <color rgb="FF92D050"/>
      </colorScale>
    </cfRule>
  </conditionalFormatting>
  <conditionalFormatting sqref="M1:M1048576">
    <cfRule type="colorScale" priority="5">
      <colorScale>
        <cfvo type="num" val="-1"/>
        <cfvo type="percentile" val="50"/>
        <cfvo type="num" val="1"/>
        <color rgb="FFF8696B"/>
        <color rgb="FFFFEB84"/>
        <color rgb="FF63BE7B"/>
      </colorScale>
    </cfRule>
  </conditionalFormatting>
  <conditionalFormatting sqref="N1:N1048576">
    <cfRule type="colorScale" priority="4">
      <colorScale>
        <cfvo type="min"/>
        <cfvo type="max"/>
        <color theme="0" tint="-0.14999847407452621"/>
        <color rgb="FFFFFF0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Kissinger</cp:lastModifiedBy>
  <dcterms:created xsi:type="dcterms:W3CDTF">2026-03-10T06:53:29Z</dcterms:created>
  <dcterms:modified xsi:type="dcterms:W3CDTF">2026-03-10T07:02:45Z</dcterms:modified>
</cp:coreProperties>
</file>